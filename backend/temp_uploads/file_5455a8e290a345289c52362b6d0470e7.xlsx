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3"/>
  <workbookPr/>
  <mc:AlternateContent xmlns:mc="http://schemas.openxmlformats.org/markup-compatibility/2006">
    <mc:Choice Requires="x15">
      <x15ac:absPath xmlns:x15ac="http://schemas.microsoft.com/office/spreadsheetml/2010/11/ac" url="D:\WAKHIDAH\SOA\SOA Q3\bordero\MARSH REINSURANCE BROKERS INDONESIA\"/>
    </mc:Choice>
  </mc:AlternateContent>
  <xr:revisionPtr revIDLastSave="9" documentId="13_ncr:1_{4740063C-E574-4ADE-A7AA-74C18E5DC3C0}" xr6:coauthVersionLast="47" xr6:coauthVersionMax="47" xr10:uidLastSave="{4BA51A45-0751-48D3-A297-5A7D487E0D6D}"/>
  <bookViews>
    <workbookView xWindow="11424" yWindow="0" windowWidth="11712" windowHeight="12336" tabRatio="838" firstSheet="8" xr2:uid="{00000000-000D-0000-FFFF-FFFF00000000}"/>
  </bookViews>
  <sheets>
    <sheet name="MARSH - FIRE" sheetId="3" r:id="rId1"/>
    <sheet name="MARSH - ENG" sheetId="4" r:id="rId2"/>
    <sheet name="MARSH - GA" sheetId="5" r:id="rId3"/>
    <sheet name="MARSH - CARGO" sheetId="7" r:id="rId4"/>
    <sheet name="MARSH - MONEY" sheetId="12" r:id="rId5"/>
    <sheet name="MAREIN - FIRE" sheetId="13" r:id="rId6"/>
    <sheet name="MAREIN - ENG" sheetId="14" r:id="rId7"/>
    <sheet name="MAREIN - GA" sheetId="15" r:id="rId8"/>
    <sheet name="MAREIN - CARGO" sheetId="16" r:id="rId9"/>
    <sheet name="MAREIN - MONEY" sheetId="17" r:id="rId10"/>
  </sheets>
  <definedNames>
    <definedName name="_xlnm._FilterDatabase" localSheetId="8" hidden="1">'MAREIN - CARGO'!$B$10:$Z$26</definedName>
    <definedName name="_xlnm._FilterDatabase" localSheetId="6" hidden="1">'MAREIN - ENG'!$B$10:$Z$68</definedName>
    <definedName name="_xlnm._FilterDatabase" localSheetId="5" hidden="1">'MAREIN - FIRE'!$B$10:$Y$150</definedName>
    <definedName name="_xlnm._FilterDatabase" localSheetId="7" hidden="1">'MAREIN - GA'!$B$10:$Y$11</definedName>
    <definedName name="_xlnm._FilterDatabase" localSheetId="9" hidden="1">'MAREIN - MONEY'!$B$10:$Z$14</definedName>
    <definedName name="_xlnm._FilterDatabase" localSheetId="3" hidden="1">'MARSH - CARGO'!$B$10:$Z$40</definedName>
    <definedName name="_xlnm._FilterDatabase" localSheetId="1" hidden="1">'MARSH - ENG'!$B$10:$Z$73</definedName>
    <definedName name="_xlnm._FilterDatabase" localSheetId="0" hidden="1">'MARSH - FIRE'!$B$10:$Z$176</definedName>
    <definedName name="_xlnm._FilterDatabase" localSheetId="2" hidden="1">'MARSH - GA'!$B$10:$Y$11</definedName>
    <definedName name="_xlnm._FilterDatabase" localSheetId="4" hidden="1">'MARSH - MONEY'!$B$10:$Z$11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 i="17" l="1"/>
  <c r="Y13" i="17"/>
  <c r="Y12" i="17"/>
  <c r="Y11" i="17"/>
  <c r="Y17" i="16"/>
  <c r="Y16" i="16"/>
  <c r="Y12" i="16"/>
  <c r="Y26" i="16"/>
  <c r="Y25" i="16"/>
  <c r="Y24" i="16"/>
  <c r="Y23" i="16"/>
  <c r="Y22" i="16"/>
  <c r="Y21" i="16"/>
  <c r="Y20" i="16"/>
  <c r="Y19" i="16"/>
  <c r="Y18" i="16"/>
  <c r="Y15" i="16"/>
  <c r="Y14" i="16"/>
  <c r="Y13" i="16"/>
  <c r="X11" i="15"/>
  <c r="Y64" i="14"/>
  <c r="Y63" i="14"/>
  <c r="Y62" i="14"/>
  <c r="Y61" i="14"/>
  <c r="Y19" i="14"/>
  <c r="Y18" i="14"/>
  <c r="Y17" i="14"/>
  <c r="Y16" i="14"/>
  <c r="Y15" i="14"/>
  <c r="Y14" i="14"/>
  <c r="Y13" i="14"/>
  <c r="Y12" i="14"/>
  <c r="Y68" i="14"/>
  <c r="Y67" i="14"/>
  <c r="Y66" i="14"/>
  <c r="Y65" i="14"/>
  <c r="Y60" i="14"/>
  <c r="Y59" i="14"/>
  <c r="Y58" i="14"/>
  <c r="Y57" i="14"/>
  <c r="Y56" i="14"/>
  <c r="Y55" i="14"/>
  <c r="Y54" i="14"/>
  <c r="Y53" i="14"/>
  <c r="Y52" i="14"/>
  <c r="Y51" i="14"/>
  <c r="Y50" i="14"/>
  <c r="Y49" i="14"/>
  <c r="Y48" i="14"/>
  <c r="Y47" i="14"/>
  <c r="Y46" i="14"/>
  <c r="Y45" i="14"/>
  <c r="Y44" i="14"/>
  <c r="Y43" i="14"/>
  <c r="Y42" i="14"/>
  <c r="Y41" i="14"/>
  <c r="Y40" i="14"/>
  <c r="Y39" i="14"/>
  <c r="Y38" i="14"/>
  <c r="Y37" i="14"/>
  <c r="Y36" i="14"/>
  <c r="Y35" i="14"/>
  <c r="Y34" i="14"/>
  <c r="Y33" i="14"/>
  <c r="Y32" i="14"/>
  <c r="Y31" i="14"/>
  <c r="Y30" i="14"/>
  <c r="Y29" i="14"/>
  <c r="Y28" i="14"/>
  <c r="Y27" i="14"/>
  <c r="Y26" i="14"/>
  <c r="Y25" i="14"/>
  <c r="Y24" i="14"/>
  <c r="Y23" i="14"/>
  <c r="Y22" i="14"/>
  <c r="Y21" i="14"/>
  <c r="Y20" i="14"/>
  <c r="X146" i="13"/>
  <c r="X145" i="13"/>
  <c r="X144" i="13"/>
  <c r="X143" i="13"/>
  <c r="X99" i="13"/>
  <c r="X98" i="13"/>
  <c r="X97" i="13"/>
  <c r="X96" i="13"/>
  <c r="X95" i="13"/>
  <c r="X94" i="13"/>
  <c r="X93" i="13"/>
  <c r="X92" i="13"/>
  <c r="X91" i="13"/>
  <c r="X90" i="13"/>
  <c r="X89" i="13"/>
  <c r="X88" i="13"/>
  <c r="X87" i="13"/>
  <c r="X86" i="13"/>
  <c r="X85" i="13"/>
  <c r="X84" i="13"/>
  <c r="X83" i="13"/>
  <c r="X82" i="13"/>
  <c r="X81" i="13"/>
  <c r="X80" i="13"/>
  <c r="X79" i="13"/>
  <c r="X78" i="13"/>
  <c r="X77" i="13"/>
  <c r="X76" i="13"/>
  <c r="X75" i="13"/>
  <c r="X74" i="13"/>
  <c r="X73" i="13"/>
  <c r="X72" i="13"/>
  <c r="X71" i="13"/>
  <c r="X70" i="13"/>
  <c r="X69" i="13"/>
  <c r="X68" i="13"/>
  <c r="X67" i="13"/>
  <c r="X66" i="13"/>
  <c r="X65" i="13"/>
  <c r="X64" i="13"/>
  <c r="X63" i="13"/>
  <c r="X62" i="13"/>
  <c r="X61" i="13"/>
  <c r="X60" i="13"/>
  <c r="X59" i="13"/>
  <c r="X58" i="13"/>
  <c r="X57" i="13"/>
  <c r="X56" i="13"/>
  <c r="X55" i="13"/>
  <c r="X54" i="13"/>
  <c r="X53" i="13"/>
  <c r="X52" i="13"/>
  <c r="X51" i="13"/>
  <c r="X50" i="13"/>
  <c r="X49" i="13"/>
  <c r="X48" i="13"/>
  <c r="X47" i="13"/>
  <c r="X46" i="13"/>
  <c r="X45" i="13"/>
  <c r="X44" i="13"/>
  <c r="X43" i="13"/>
  <c r="X42" i="13"/>
  <c r="X41" i="13"/>
  <c r="X40" i="13"/>
  <c r="X39" i="13"/>
  <c r="X38" i="13"/>
  <c r="X37" i="13"/>
  <c r="X36" i="13"/>
  <c r="X35" i="13"/>
  <c r="X34" i="13"/>
  <c r="X33" i="13"/>
  <c r="X32" i="13"/>
  <c r="X31" i="13"/>
  <c r="X30" i="13"/>
  <c r="X29" i="13"/>
  <c r="X28" i="13"/>
  <c r="X27" i="13"/>
  <c r="X26" i="13"/>
  <c r="X25" i="13"/>
  <c r="X24" i="13"/>
  <c r="X23" i="13"/>
  <c r="X22" i="13"/>
  <c r="X21" i="13"/>
  <c r="X20" i="13"/>
  <c r="X19" i="13"/>
  <c r="X18" i="13"/>
  <c r="X17" i="13"/>
  <c r="X16" i="13"/>
  <c r="X15" i="13"/>
  <c r="X14" i="13"/>
  <c r="X13" i="13"/>
  <c r="X12" i="13"/>
  <c r="X150" i="13"/>
  <c r="X149" i="13"/>
  <c r="X148" i="13"/>
  <c r="X147" i="13"/>
  <c r="X142" i="13"/>
  <c r="X141" i="13"/>
  <c r="X140" i="13"/>
  <c r="X139" i="13"/>
  <c r="X138" i="13"/>
  <c r="X137" i="13"/>
  <c r="X136" i="13"/>
  <c r="X135" i="13"/>
  <c r="X134" i="13"/>
  <c r="X133" i="13"/>
  <c r="X132" i="13"/>
  <c r="X131" i="13"/>
  <c r="X130" i="13"/>
  <c r="X129" i="13"/>
  <c r="X128" i="13"/>
  <c r="X127" i="13"/>
  <c r="X126" i="13"/>
  <c r="X125" i="13"/>
  <c r="X124" i="13"/>
  <c r="X123" i="13"/>
  <c r="X122" i="13"/>
  <c r="X121" i="13"/>
  <c r="X120" i="13"/>
  <c r="X119" i="13"/>
  <c r="X118" i="13"/>
  <c r="X117" i="13"/>
  <c r="X116" i="13"/>
  <c r="X115" i="13"/>
  <c r="X114" i="13"/>
  <c r="X113" i="13"/>
  <c r="X112" i="13"/>
  <c r="X111" i="13"/>
  <c r="X110" i="13"/>
  <c r="X109" i="13"/>
  <c r="X108" i="13"/>
  <c r="X107" i="13"/>
  <c r="X106" i="13"/>
  <c r="X105" i="13"/>
  <c r="X104" i="13"/>
  <c r="X103" i="13"/>
  <c r="X102" i="13"/>
  <c r="X101" i="13"/>
  <c r="Y14" i="12"/>
  <c r="Y13" i="12"/>
  <c r="Y12" i="12"/>
  <c r="Y39" i="7"/>
  <c r="Y38" i="7"/>
  <c r="Y37" i="7"/>
  <c r="Y36" i="7"/>
  <c r="Y35" i="7"/>
  <c r="Y34" i="7"/>
  <c r="Y33" i="7"/>
  <c r="Y32" i="7"/>
  <c r="Y31" i="7"/>
  <c r="Y15" i="7"/>
  <c r="Y14" i="7"/>
  <c r="Y13" i="7"/>
  <c r="Y40" i="7"/>
  <c r="Y28" i="7"/>
  <c r="Y27" i="7"/>
  <c r="Y26" i="7"/>
  <c r="Y25" i="7"/>
  <c r="Y24" i="7"/>
  <c r="Y23" i="7"/>
  <c r="Y22" i="7"/>
  <c r="Y21" i="7"/>
  <c r="Y20" i="7"/>
  <c r="Y19" i="7"/>
  <c r="Y18" i="7"/>
  <c r="Y17" i="7"/>
  <c r="Y16" i="7"/>
  <c r="X11" i="5"/>
  <c r="Y69" i="4"/>
  <c r="Y68" i="4"/>
  <c r="Y67" i="4"/>
  <c r="Y66" i="4"/>
  <c r="Y19" i="4"/>
  <c r="Y18" i="4"/>
  <c r="Y17" i="4"/>
  <c r="Y16" i="4"/>
  <c r="Y15" i="4"/>
  <c r="Y14" i="4"/>
  <c r="Y13" i="4"/>
  <c r="Y12" i="4"/>
  <c r="Y73" i="4"/>
  <c r="Y72" i="4"/>
  <c r="Y71" i="4"/>
  <c r="Y70" i="4"/>
  <c r="Y60" i="4"/>
  <c r="Y59" i="4"/>
  <c r="Y58" i="4"/>
  <c r="Y57" i="4"/>
  <c r="Y56" i="4"/>
  <c r="Y55" i="4"/>
  <c r="Y54" i="4"/>
  <c r="Y53" i="4"/>
  <c r="Y52" i="4"/>
  <c r="Y51" i="4"/>
  <c r="Y50" i="4"/>
  <c r="Y49" i="4"/>
  <c r="Y48" i="4"/>
  <c r="Y47" i="4"/>
  <c r="Y46" i="4"/>
  <c r="Y45" i="4"/>
  <c r="Y44" i="4"/>
  <c r="Y43" i="4"/>
  <c r="Y42" i="4"/>
  <c r="Y41" i="4"/>
  <c r="Y40" i="4"/>
  <c r="Y39" i="4"/>
  <c r="Y38" i="4"/>
  <c r="Y37" i="4"/>
  <c r="Y36" i="4"/>
  <c r="Y35" i="4"/>
  <c r="Y34" i="4"/>
  <c r="Y33" i="4"/>
  <c r="Y32" i="4"/>
  <c r="Y31" i="4"/>
  <c r="Y30" i="4"/>
  <c r="Y29" i="4"/>
  <c r="Y28" i="4"/>
  <c r="Y27" i="4"/>
  <c r="Y26" i="4"/>
  <c r="Y25" i="4"/>
  <c r="Y24" i="4"/>
  <c r="Y23" i="4"/>
  <c r="Y22" i="4"/>
  <c r="Y21" i="4"/>
  <c r="Y20" i="4"/>
  <c r="Y65" i="4"/>
  <c r="Y64" i="4"/>
  <c r="Y63" i="4"/>
  <c r="Y62" i="4"/>
  <c r="Y61" i="4"/>
  <c r="Y171" i="3"/>
  <c r="Y170" i="3"/>
  <c r="Y169" i="3"/>
  <c r="Y168" i="3"/>
  <c r="Y167" i="3"/>
  <c r="Y120" i="3"/>
  <c r="Y119" i="3"/>
  <c r="Y118" i="3"/>
  <c r="Y117" i="3"/>
  <c r="Y116" i="3"/>
  <c r="Y115" i="3"/>
  <c r="Y114" i="3"/>
  <c r="Y113" i="3"/>
  <c r="Y112" i="3"/>
  <c r="Y111" i="3"/>
  <c r="Y110" i="3"/>
  <c r="Y109" i="3"/>
  <c r="Y108" i="3"/>
  <c r="Y107" i="3"/>
  <c r="Y106" i="3"/>
  <c r="Y105" i="3"/>
  <c r="Y104" i="3"/>
  <c r="Y103" i="3"/>
  <c r="Y102" i="3"/>
  <c r="Y101" i="3"/>
  <c r="Y100" i="3"/>
  <c r="Y99" i="3"/>
  <c r="Y98" i="3"/>
  <c r="Y97" i="3"/>
  <c r="Y96" i="3"/>
  <c r="Y95" i="3"/>
  <c r="Y94" i="3"/>
  <c r="Y93" i="3"/>
  <c r="Y92" i="3"/>
  <c r="Y91" i="3"/>
  <c r="Y90" i="3"/>
  <c r="Y89" i="3"/>
  <c r="Y88" i="3"/>
  <c r="Y87" i="3"/>
  <c r="Y86" i="3"/>
  <c r="Y85" i="3"/>
  <c r="Y84" i="3"/>
  <c r="Y83" i="3"/>
  <c r="Y82" i="3"/>
  <c r="Y81" i="3"/>
  <c r="Y80" i="3"/>
  <c r="Y79" i="3"/>
  <c r="Y78" i="3"/>
  <c r="Y77" i="3"/>
  <c r="Y76" i="3"/>
  <c r="Y75" i="3"/>
  <c r="Y74" i="3"/>
  <c r="Y73" i="3"/>
  <c r="Y72" i="3"/>
  <c r="Y71" i="3"/>
  <c r="Y70" i="3"/>
  <c r="Y69" i="3"/>
  <c r="Y68" i="3"/>
  <c r="Y67" i="3"/>
  <c r="Y66" i="3"/>
  <c r="Y65" i="3"/>
  <c r="Y64" i="3"/>
  <c r="Y63" i="3"/>
  <c r="Y62" i="3"/>
  <c r="Y61" i="3"/>
  <c r="Y60" i="3"/>
  <c r="Y59" i="3"/>
  <c r="Y58" i="3"/>
  <c r="Y57" i="3"/>
  <c r="Y56" i="3"/>
  <c r="Y55" i="3"/>
  <c r="Y54" i="3"/>
  <c r="Y53" i="3"/>
  <c r="Y52" i="3"/>
  <c r="Y51" i="3"/>
  <c r="Y50" i="3"/>
  <c r="Y49" i="3"/>
  <c r="Y48" i="3"/>
  <c r="Y47" i="3"/>
  <c r="Y46" i="3"/>
  <c r="Y45" i="3"/>
  <c r="Y44" i="3"/>
  <c r="Y43" i="3"/>
  <c r="Y42" i="3"/>
  <c r="Y41" i="3"/>
  <c r="Y40" i="3"/>
  <c r="Y39" i="3"/>
  <c r="Y38" i="3"/>
  <c r="Y37" i="3"/>
  <c r="Y36" i="3"/>
  <c r="Y35" i="3"/>
  <c r="Y34" i="3"/>
  <c r="Y33" i="3"/>
  <c r="Y175" i="3"/>
  <c r="Y174" i="3"/>
  <c r="Y173" i="3"/>
  <c r="Y172" i="3"/>
  <c r="Y163" i="3"/>
  <c r="Y162" i="3"/>
  <c r="Y161" i="3"/>
  <c r="Y160" i="3"/>
  <c r="Y159" i="3"/>
  <c r="Y158" i="3"/>
  <c r="Y157" i="3"/>
  <c r="Y156" i="3"/>
  <c r="Y155" i="3"/>
  <c r="Y154" i="3"/>
  <c r="Y153" i="3"/>
  <c r="Y152" i="3"/>
  <c r="Y151" i="3"/>
  <c r="Y150" i="3"/>
  <c r="Y149" i="3"/>
  <c r="Y148" i="3"/>
  <c r="Y147" i="3"/>
  <c r="Y146" i="3"/>
  <c r="Y145" i="3"/>
  <c r="Y144" i="3"/>
  <c r="Y143" i="3"/>
  <c r="Y142" i="3"/>
  <c r="Y141" i="3"/>
  <c r="Y140" i="3"/>
  <c r="Y139" i="3"/>
  <c r="Y138" i="3"/>
  <c r="Y137" i="3"/>
  <c r="Y136" i="3"/>
  <c r="Y135" i="3"/>
  <c r="Y134" i="3"/>
  <c r="Y133" i="3"/>
  <c r="Y132" i="3"/>
  <c r="Y131" i="3"/>
  <c r="Y130" i="3"/>
  <c r="Y129" i="3"/>
  <c r="Y128" i="3"/>
  <c r="Y127" i="3"/>
  <c r="Y126" i="3"/>
  <c r="Y125" i="3"/>
  <c r="Y124" i="3"/>
  <c r="Y123" i="3"/>
  <c r="Y122" i="3"/>
  <c r="Y121" i="3"/>
  <c r="Y176" i="3"/>
  <c r="Y166" i="3"/>
  <c r="Y165" i="3"/>
  <c r="Y164" i="3"/>
  <c r="Y31" i="3"/>
  <c r="Y30" i="3"/>
  <c r="Y29" i="3"/>
  <c r="Y28" i="3"/>
  <c r="Y27" i="3"/>
  <c r="Y26" i="3"/>
  <c r="Y25" i="3"/>
  <c r="Y24" i="3"/>
  <c r="Y23" i="3"/>
  <c r="Y22" i="3"/>
  <c r="Y21" i="3"/>
  <c r="Y20" i="3"/>
  <c r="Y19" i="3"/>
  <c r="Y18" i="3"/>
  <c r="Y17" i="3"/>
  <c r="Y16" i="3"/>
  <c r="Y15" i="3"/>
  <c r="Y14" i="3"/>
  <c r="Y13" i="3"/>
  <c r="Y12" i="3"/>
  <c r="Y11" i="3"/>
  <c r="Y32" i="3"/>
  <c r="X100" i="13" l="1"/>
  <c r="W42" i="7"/>
  <c r="Y29" i="7"/>
  <c r="Y30" i="7"/>
  <c r="Y12" i="7"/>
  <c r="W16" i="12"/>
  <c r="V16" i="12"/>
  <c r="V42" i="7"/>
  <c r="V178" i="3"/>
  <c r="V152" i="13" l="1"/>
  <c r="V28" i="16"/>
  <c r="V16" i="17"/>
  <c r="Y11" i="4"/>
  <c r="V70" i="14" l="1"/>
  <c r="W70" i="14"/>
  <c r="V13" i="15"/>
  <c r="W28" i="16"/>
  <c r="W16" i="17"/>
  <c r="X11" i="13" l="1"/>
  <c r="Y11" i="16"/>
  <c r="Y11" i="14"/>
  <c r="Y11" i="12" l="1"/>
  <c r="Y11" i="7"/>
  <c r="V13" i="5"/>
  <c r="V75" i="4"/>
  <c r="W75" i="4"/>
  <c r="W178" i="3"/>
</calcChain>
</file>

<file path=xl/sharedStrings.xml><?xml version="1.0" encoding="utf-8"?>
<sst xmlns="http://schemas.openxmlformats.org/spreadsheetml/2006/main" count="3867" uniqueCount="708">
  <si>
    <t>CLAIMS BORDEREAUX REPORT</t>
  </si>
  <si>
    <t>Reinsured:</t>
  </si>
  <si>
    <t>PT Asuransi Tri Pakarta</t>
  </si>
  <si>
    <t>Treaty Name:</t>
  </si>
  <si>
    <t>Fire Quota Share Surplus</t>
  </si>
  <si>
    <t>Period:</t>
  </si>
  <si>
    <t>1 Juli 2025 - 30 September 2025</t>
  </si>
  <si>
    <t>No</t>
  </si>
  <si>
    <t>REGISTER NO.</t>
  </si>
  <si>
    <t>POLICY NUMBER</t>
  </si>
  <si>
    <t>INSURED NAME</t>
  </si>
  <si>
    <t>COB</t>
  </si>
  <si>
    <t>UW YEAR</t>
  </si>
  <si>
    <t>PERIOD OF INSURANCE</t>
  </si>
  <si>
    <t>OCCUPATION CODE</t>
  </si>
  <si>
    <t>OCCUPATION</t>
  </si>
  <si>
    <t>DOL</t>
  </si>
  <si>
    <t>SOURCE (DIRECT/COINS/INWARD FAC.)</t>
  </si>
  <si>
    <t>CURR</t>
  </si>
  <si>
    <t>CLAIM 100%</t>
  </si>
  <si>
    <t>CEDANT'S SHARE</t>
  </si>
  <si>
    <t>SPREADING OF CLAIM</t>
  </si>
  <si>
    <t>Claim Quota Share
(Marsh Re Share)</t>
  </si>
  <si>
    <t>Claim Surplus
(Marsh Re Share)</t>
  </si>
  <si>
    <t>Outstanding Claims 100%</t>
  </si>
  <si>
    <t>Outstanding Claims 
(Marsh Re Share)</t>
  </si>
  <si>
    <t>NOTE</t>
  </si>
  <si>
    <t>START</t>
  </si>
  <si>
    <t>END</t>
  </si>
  <si>
    <t>%</t>
  </si>
  <si>
    <t>IN AMOUNT</t>
  </si>
  <si>
    <t>OR</t>
  </si>
  <si>
    <t>QS</t>
  </si>
  <si>
    <t>SURPLUS</t>
  </si>
  <si>
    <t>OTHERS</t>
  </si>
  <si>
    <t>0201042500004</t>
  </si>
  <si>
    <t>10201042500016</t>
  </si>
  <si>
    <t xml:space="preserve">ASURANSI WAHANA TATA </t>
  </si>
  <si>
    <t>FIRE</t>
  </si>
  <si>
    <t>KANTOR</t>
  </si>
  <si>
    <t>DIRECT INSURANCE</t>
  </si>
  <si>
    <t>IDR</t>
  </si>
  <si>
    <t>0201362500001</t>
  </si>
  <si>
    <t>10201362500406</t>
  </si>
  <si>
    <t>PT BANK NEGARA INDONESIA (PERSERO) TBK KANTOR CABANG PEMBANTU (KCP) LIPPO KARAWACI QQ ONGKO PRACOYO</t>
  </si>
  <si>
    <t>TOKO</t>
  </si>
  <si>
    <t>0301212500001</t>
  </si>
  <si>
    <t>10301212400267</t>
  </si>
  <si>
    <t>BANK NEGARA INDONESIA (PERSERO) TBK KANTOR CABANG JOMBANG QQ GALANG BAGUS SUHADAK</t>
  </si>
  <si>
    <t>PETERNAKAN AYAM</t>
  </si>
  <si>
    <t>0601212500002</t>
  </si>
  <si>
    <t>10601211900669</t>
  </si>
  <si>
    <t>PT BANK NEGARA INDONESIA (PERSERO) TBK KANTOR CABANG TANJUNG BALAI KARIMUN QQ SUDIRMAN</t>
  </si>
  <si>
    <t>RUMAH TINGGAL</t>
  </si>
  <si>
    <t>0601212500003</t>
  </si>
  <si>
    <t>10601212400012</t>
  </si>
  <si>
    <t xml:space="preserve">BANK NEGARA INDONESIA (PERSERO) TBK CONSUMER LOAN PROCESSING CENTER PEKANBARU QQ MARDIA </t>
  </si>
  <si>
    <t>Dwelling houses not classified as shop houses (ruko) not exceeding 3 storeys</t>
  </si>
  <si>
    <t>0801042500010</t>
  </si>
  <si>
    <t>10801042500006</t>
  </si>
  <si>
    <t>BANK  MANDIRI (PERSERO) TBK AREA MATARAM</t>
  </si>
  <si>
    <t>0801042500005</t>
  </si>
  <si>
    <t>10801042500063</t>
  </si>
  <si>
    <t>PT OMHAM BHUANA JAGADDHITAM</t>
  </si>
  <si>
    <t>HOTEL</t>
  </si>
  <si>
    <t>1101362500001</t>
  </si>
  <si>
    <t>11101362201913</t>
  </si>
  <si>
    <t>BANK NEGARA INDONESIA (PERSERO) TBK KANTOR CABANG KUNINGAN QQ EUIS MAESAROH</t>
  </si>
  <si>
    <t>Paddy &amp; Hulling Mills</t>
  </si>
  <si>
    <t>1201362500001</t>
  </si>
  <si>
    <t>11201362501190</t>
  </si>
  <si>
    <t xml:space="preserve">PT. BANK NEGARA INDONESIA (PERSERO) TBK KANTOR CABANG BANJARBARU QQ SITI ZAITUN </t>
  </si>
  <si>
    <t>1301362500005</t>
  </si>
  <si>
    <t>11301362200720</t>
  </si>
  <si>
    <t>PT BANK NEGARA INDONESIA (PERSERO) TBK KANTOR CABANG JEMBER QQ Ny CITRA SRI AGUSTIN - KUR RITEL BNI</t>
  </si>
  <si>
    <t>KANDANG AYAM</t>
  </si>
  <si>
    <t>1301362500004</t>
  </si>
  <si>
    <t>11301362401460</t>
  </si>
  <si>
    <t>PT BANK NEGARA INDONESIA (PERSERO) TBK KANTOR CABANG MALANG QQ Ny NAVA AFRINDASARI</t>
  </si>
  <si>
    <t>1801042500004</t>
  </si>
  <si>
    <t>11801042500061</t>
  </si>
  <si>
    <t>RUMAH SAKIT AKADEMIK UGM YOGYAKARTA (GEDUNG ARJUNA) ( VIP )</t>
  </si>
  <si>
    <t>Sanatorium, hospitals, doctor`s consulting room`s old people`s and Children`s homes</t>
  </si>
  <si>
    <t>0601042500002</t>
  </si>
  <si>
    <t>30601042500024</t>
  </si>
  <si>
    <t>PT SURYA DUMAI AGRINDO</t>
  </si>
  <si>
    <t>Private Warehouses</t>
  </si>
  <si>
    <t>COINSURANCE MEMBER</t>
  </si>
  <si>
    <t>0701042500289</t>
  </si>
  <si>
    <t>30701042500129</t>
  </si>
  <si>
    <t>PT KERTAS TERPADU BATAMINDO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KERTAS TERPADU BATAMINDO accepted obligation to insure.</t>
  </si>
  <si>
    <t>Paper Manufacure</t>
  </si>
  <si>
    <t>0801052500001</t>
  </si>
  <si>
    <t>30801052500001</t>
  </si>
  <si>
    <t>PT. LABDA ANUGERAH TEKSTIL</t>
  </si>
  <si>
    <t>DIGITAL PRINTING</t>
  </si>
  <si>
    <t>0901042500112</t>
  </si>
  <si>
    <t>30901042500345</t>
  </si>
  <si>
    <t xml:space="preserve">PT. SAHABAT DUTA WISATA AND/OR SUBSIDIARY/IES AND/OR ASSOCIATED COMPANIES AND/OR AFFILIATED COMPANIES INCLUDING THOSE ACQUIRED OR INCORPORATED DURING THE PERIOD OF INSURANCE FOR THEIR RESPECTIVE RIGHTS AND INTERESTS. </t>
  </si>
  <si>
    <t>29313-B</t>
  </si>
  <si>
    <t>29313A / Shopping mall/center Grade A in connect on to the Insured’s trade of business.</t>
  </si>
  <si>
    <t>0901242500023</t>
  </si>
  <si>
    <t>30901242500004</t>
  </si>
  <si>
    <t>PT BANK NEGARA INDONESIA ( PERSERO), TBK QQ PT PANCAKARYA GRIYATAMA QQ PT SKANDI SARANA KELOLA AND/OR ASSOCIATED AND/OR SUBSIDIARY AND/OR AFFILIATED COMPANIES INCLUDING THOSE ACQUIRED OR INCORPORATED DURING THE PERIOD OF INSURANCE FOR THEIR RESPECTIVE RIGHTS AND INTERESTS</t>
  </si>
  <si>
    <t>Apartments/ condominiums, offices, multi-storeyed car parks-exceeding 24 storeys above ground and/or sales activities and/or operation activities and/or others related to the insured business</t>
  </si>
  <si>
    <t>1101042500021</t>
  </si>
  <si>
    <t>31101042500030</t>
  </si>
  <si>
    <t>CV LANGKAH MAJU PERKASA JAYA QQ MUNIR KAMSI</t>
  </si>
  <si>
    <t>Garment/Konveksi/Private Warehouse/Office</t>
  </si>
  <si>
    <t>1101042500019</t>
  </si>
  <si>
    <t>31101042500049</t>
  </si>
  <si>
    <t>PT BCA TBK KANWIL I BANDUNG QQ CV ANGCONA MESTIKA UNISOLE</t>
  </si>
  <si>
    <t>Sole Manufacturer</t>
  </si>
  <si>
    <t>1301042500005</t>
  </si>
  <si>
    <t>31301042500023</t>
  </si>
  <si>
    <t>Tn ANDREW</t>
  </si>
  <si>
    <t>SHOPS - (SECOND HAND ELECTRONICS STORE)</t>
  </si>
  <si>
    <t>1701042500002</t>
  </si>
  <si>
    <t>31701042500001</t>
  </si>
  <si>
    <t>PT SINAR PUREFOODS INTERNATIONAL</t>
  </si>
  <si>
    <t>TUNA CANNING FACTORY</t>
  </si>
  <si>
    <t>0501042400001</t>
  </si>
  <si>
    <t>10501042300008</t>
  </si>
  <si>
    <t>PT BANK NEGARA INDONESIA (PERSERO) TBK JAKARTA DIVISI KORPORASI 2 QQ PT MULTI TRADING PRATAMA</t>
  </si>
  <si>
    <t>BANGUNAN STORAGE TANK, MESIN, INSTALASI, ELECTRICAL, PIPPING, SOFTWARE, BANGUNAN KANTOR, INVENTARIS DAN FURNITURE</t>
  </si>
  <si>
    <t>0701242400100</t>
  </si>
  <si>
    <t>10701242200038</t>
  </si>
  <si>
    <t>PT BANK NEGARA INDONESIA (PERSERO) TBK DIVISI PROCUREMENT &amp; FIXED ASSETS  - WILAYAH 05 - SEMARANG - CABANG SEMARANG and/or subsidiary and/or inter related companies and/or management for their respective rights and interest</t>
  </si>
  <si>
    <t>Office Building and / or Dwelling House and / or Warehouse and / or Guest house and / or school and / or Sport Center/ Training Center /  /  ATM &amp; CDM Machines / ATM Room / DRC &amp; DDC / all the BNI belongs  etc</t>
  </si>
  <si>
    <t>0301142400005</t>
  </si>
  <si>
    <t>20301142300001</t>
  </si>
  <si>
    <t>PT GUDANG GARAM, TBK</t>
  </si>
  <si>
    <t>Cigarette Manufacturer / Warehouse / Office</t>
  </si>
  <si>
    <t>COINSURANCE LEADER</t>
  </si>
  <si>
    <t>0301042400027</t>
  </si>
  <si>
    <t>30301042400013</t>
  </si>
  <si>
    <t>PT SEKAR BUMI TBK</t>
  </si>
  <si>
    <t>FISH PROCESSING FACTORY / COLD STORAGE / WAREHOUSE / OFFICE</t>
  </si>
  <si>
    <t>0301042400012</t>
  </si>
  <si>
    <t>30301042400091</t>
  </si>
  <si>
    <t>PT JAPFA COMFEED INDONESIA TBK DIVISI FEED SIDOARJO</t>
  </si>
  <si>
    <t>Fodder Mills</t>
  </si>
  <si>
    <t>0301042500093</t>
  </si>
  <si>
    <t>30301042400265</t>
  </si>
  <si>
    <t>PT JAPFA COMFEED INDONESIA TBK - PADANG</t>
  </si>
  <si>
    <t>0401042300001</t>
  </si>
  <si>
    <t>30401042300038</t>
  </si>
  <si>
    <t xml:space="preserve">PT BANK MANDIRI (PERSERO )TBK QQ PT. PURA NUSAPERSADA DIVISI PM. 7 &amp; 8 </t>
  </si>
  <si>
    <t>WORKSHOP / PAPER MANUFACTURE / PAPER GOODS</t>
  </si>
  <si>
    <t>0401042300002</t>
  </si>
  <si>
    <t>30401042300052</t>
  </si>
  <si>
    <t xml:space="preserve">PT BANK  HSBC INDONESIA  QQ PT.PURA BARUTAMA DIVISI WORKSHOP </t>
  </si>
  <si>
    <t>WORKSHOP/PAPER MANUFACTURE/PAPER GOODS</t>
  </si>
  <si>
    <t>0701042500255</t>
  </si>
  <si>
    <t>30701042300146</t>
  </si>
  <si>
    <t>PT BANK RAKYAT INDONESIA (PERSERO) TBK QQ PT SURYA BORNEO INDUSTRI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veture where the above Insured accepted obligation insurer.</t>
  </si>
  <si>
    <t>Power Plant (PLTU)</t>
  </si>
  <si>
    <t>0701042400024</t>
  </si>
  <si>
    <t>30701042300213</t>
  </si>
  <si>
    <t>PT KINO INDONESIA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insured above accepted obligation to insure.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insured above accepted obligation to insure.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insured above accepted obligation to insure.</t>
  </si>
  <si>
    <t>Pharmaceutical Factory</t>
  </si>
  <si>
    <t>0701042300105</t>
  </si>
  <si>
    <t>30701042300300</t>
  </si>
  <si>
    <t>PT CEMINDO GEMILANG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CEMINDO GEMILANG accepted obligation to insure</t>
  </si>
  <si>
    <t>Cement Factory + Jetty and all other activities idental thereto and/or all other occupation in which the Insured may become engaded</t>
  </si>
  <si>
    <t>0701042400228</t>
  </si>
  <si>
    <t>30701042300355</t>
  </si>
  <si>
    <t>PT. GRAHA ALAM LESTARI and/or HOTEL THE APURVA KEMPINSKI BALI (WINGS GROUP)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GRAHA ALAM LESTARI and/or HOTEL THE APURVA KEMPINSKI BALI (WINGS GROUP) accepted obligation to insure</t>
  </si>
  <si>
    <t>Hotel certified as 3 star and above and all other activities  incidental thereto and/or all other occupation in which the Insured  may become engaged</t>
  </si>
  <si>
    <t>0701042400152</t>
  </si>
  <si>
    <t>30701042300356</t>
  </si>
  <si>
    <t>PT SANTOS JAYA ABADI AND/OR SUBSIDIARY AND/OR AFFILIATED AND/OR INTER-RELATED COMPANIES FOR THEIR RESPECTIVE RIGHTS AND INTERESTS.</t>
  </si>
  <si>
    <t>Coffee Roasting Plants &amp; Other Roasting Plants, etc.</t>
  </si>
  <si>
    <t>0701042400153</t>
  </si>
  <si>
    <t>0701042400180</t>
  </si>
  <si>
    <t>0701042500307</t>
  </si>
  <si>
    <t>0701042400241</t>
  </si>
  <si>
    <t>30701042300366</t>
  </si>
  <si>
    <t>PT BANK NEGARA INDONESIA (PERSERO) TBK QQ PT MISI MULIA PETRONUSA and/or subsidiary/ies and/or associated companies and/or affiliated companies including those acquired or incorporated during the period of insurance for their respective rights and interests.</t>
  </si>
  <si>
    <t>Liquefied Gases ( All operation of the insured but not limited to LPG Terminal &amp; Storage and to all other activities related to the insured`s business )</t>
  </si>
  <si>
    <t>0701042400070</t>
  </si>
  <si>
    <t>30701042400083</t>
  </si>
  <si>
    <t xml:space="preserve">PT KARUNIA ALAM SEGAR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above Insured accepted obligation to insure. </t>
  </si>
  <si>
    <t>Instant Noodle Manufacture - Processed food factories (bihun, mie, lomie, kerupuk) and the like</t>
  </si>
  <si>
    <t>0701042400225</t>
  </si>
  <si>
    <t>30701042400160</t>
  </si>
  <si>
    <t>PT. BANK RAKYAT INDONESIA (PERSERO) TBK, PROCUREMENT LOGISTIC  POLICY &amp; FIXED ASSET MANAGEMENT DIVISION (PLM) and/or for their respective rights and interest</t>
  </si>
  <si>
    <t>Apartments/ condominiums, offices, multi-storeyed car parks not exceeding 6 storeys above ground level</t>
  </si>
  <si>
    <t>0701042500234</t>
  </si>
  <si>
    <t>0701042500235</t>
  </si>
  <si>
    <t>0701042500237</t>
  </si>
  <si>
    <t>0701042500238</t>
  </si>
  <si>
    <t>0701042500239</t>
  </si>
  <si>
    <t>0701042500240</t>
  </si>
  <si>
    <t>0701042500241</t>
  </si>
  <si>
    <t>0701042500242</t>
  </si>
  <si>
    <t>0701042500287</t>
  </si>
  <si>
    <t>0701042500314</t>
  </si>
  <si>
    <t>0901022400020</t>
  </si>
  <si>
    <t>30901022300351</t>
  </si>
  <si>
    <t>JAKARTA REALTY AND/OR ASSOCIATED AND/OR SUBSIDIARY AND/OR AFFILIATED COMPANIES INCLUDING THOSE ACQUIRED OR INCORPORATED DURING THE PERIOD OF INSURANCE FOR THEIR RESPECTIVE RIGHTS AND INTERESTS</t>
  </si>
  <si>
    <t>Shopping Centre and/or sales activities and/or operation activities and/or others related to the insured business</t>
  </si>
  <si>
    <t>0901022400028</t>
  </si>
  <si>
    <t>30901022300357</t>
  </si>
  <si>
    <t>PPPSRSSH THE PAKUBUWONO SIGNATURE and/or associated and/or subsidiary and/or affiliated companies including those acquired or incorporated during the period of insurance for their respective rights and intersts</t>
  </si>
  <si>
    <t>Appartements/Condominium, offices exceeding 24 stroyers</t>
  </si>
  <si>
    <t>0901022400034</t>
  </si>
  <si>
    <t>30901022400232</t>
  </si>
  <si>
    <t>PPRS MEDITERANIA GARDEN RESIDENCES 1 AND/OR ASSOCIATED AND/OR SUBSIDIARY AND/OR AFFILIATED COMPANIES INCLUDING THOSE ACQUIRED OR INCORPORATED DURING THE PERIOD OF INSURANCE FOR THEIR RESPECTIVE RIGHTS AND INTERESTS.</t>
  </si>
  <si>
    <t>0901022400036</t>
  </si>
  <si>
    <t>30901022400233</t>
  </si>
  <si>
    <t>PT. BUANA SURYA MAKMUR QQ P3SRS SEMENTARA GREEN LAKE SUNTER SOUTHERN LAKE RESIDENCES AND/OR ASSOCIATED AND/OR SUBSIDIARY AND/OR AFFILIATED COMPANIES INCLUDING THOSE ACQUIRED OR INCORPORATED DURING THE PERIOD OF INSURANCE FOR THEIR RESPECTIVE RIGHTS AND INTERESTS.</t>
  </si>
  <si>
    <t>0901022400021</t>
  </si>
  <si>
    <t>30901022400234</t>
  </si>
  <si>
    <t>PT. BUANA SURYA MAKMUR QQ P3SRS SEMENTARA GREEN LAKE SUNTER NORTHERN PARK RESIDENCES AND/OR ASSOCIATED AND/OR SUBSIDIARY AND/OR AFFILIATED COMPANIES INCLUDING THOSE ACQUIRED OR INCORPORATED DURING THE PERIOD OF INSURANCE FOR THEIR RESPECTIVE RIGHTS AND INTERESTS.</t>
  </si>
  <si>
    <t>0901042300003</t>
  </si>
  <si>
    <t>30901042300090</t>
  </si>
  <si>
    <t>PT INDORAMA POLYCHEM INDONESIA (CPP) and/or any subsidiary and/or related company existing at the commencement of this insurance or formed, purchased or acquired during the currency of the Policy - all for their respective rights and interests.</t>
  </si>
  <si>
    <t>28111 - Principally as owners and operators of integrated petrochemical and polyester plants including, but not limited to, manufacture and sale of Purified Terephthalic Acid (PTA), Poly Ethylene Terephthalate (PET) Resin Plant, Continuous Polymerization Plant, Filament Synthetics Yarn Factory, Draw Winder Plant, Normal Propyl Acetate (NPA) and/or Spinning Plant, Captive Power Plant (CPP), and all auxiliary and supporting facilities which shall include Waste Water Treatment Facility, Utility Plant, Storage Tanks, Canteen, Warehouse, Office, Dormitory, Mosque, Dwelling House, and all other associated activities related to or incidental thereto or in which the Insured becomes engaged. PT. Indorama Polyester Industries Indonesia - Operations have been stopped at this factory. There are buildings, and stocks kept at this location. Stocks belonging to PT. Indorama Ventures Indonesia and PT. Indorama Polychem Indonesia are also stored at this location</t>
  </si>
  <si>
    <t>0901042300006</t>
  </si>
  <si>
    <t>30901042300127</t>
  </si>
  <si>
    <t>PT BUKIT MAKMUR MANDIRI UTAMA</t>
  </si>
  <si>
    <t>Extraction &amp; Processing of Hard Coal above ground</t>
  </si>
  <si>
    <t>0901042400283</t>
  </si>
  <si>
    <t>30901042300201</t>
  </si>
  <si>
    <t>CHAROEN POKPHAND INDONESIA, MAKASSAR</t>
  </si>
  <si>
    <t>POULTRY FARMS</t>
  </si>
  <si>
    <t>0901042500059</t>
  </si>
  <si>
    <t>30901042400040</t>
  </si>
  <si>
    <t>PT. KALIMANTAN AGRO MAKMUR (KAM) AND/OR ASSOCIATED AND/OR SUBSIDIARY AND/OR AFFILIATED COMPANIES INCLUDING THOSE ACQUIRED OR INCORPORATED DURING THE PERIOD OF INSURANCE FOR THEIR RESPECTIVE RIGHTS AND INTERESTS</t>
  </si>
  <si>
    <t>Barak G10 and/or other activities related to the insured trade of business</t>
  </si>
  <si>
    <t>0901042400182</t>
  </si>
  <si>
    <t>30901042400052</t>
  </si>
  <si>
    <t>PT. BORNEO CITRA PERSADA JAYA (BCPJ) AND/OR ASSOCIATED AND/OR SUBSIDIARY AND/OR AFFILIATED COMPANIES INCLUDING THOSE ACQUIRED OR INCORPORATED DURING THE PERIOD OF INSURANCE FOR THEIR RESPECTIVE RIGHTS AND INTERESTS</t>
  </si>
  <si>
    <t>0901042400282</t>
  </si>
  <si>
    <t>30901042400053</t>
  </si>
  <si>
    <t xml:space="preserve">PT BORNEO CITRA PERSADA ABADI (BCPA) AND/OR ASSOCIATED AND/OR SUBSIDIARY AND/OR AFFILIATED COMPANIES INCLUDING THOSE ACQUIRED OR INCORPORATED DURING THE PERIOD OF INSURANCE FOR THEIR RESPECTIVE RIGHTS AND INTERESTS. </t>
  </si>
  <si>
    <t>BARAK G10 AND/OR OTHER ACTIVITIES RELATED TO THE INSURED TRADE OF BUSINESS</t>
  </si>
  <si>
    <t>0901042500041</t>
  </si>
  <si>
    <t>30901042400210</t>
  </si>
  <si>
    <t>PT KALBIO GLOBAL MEDIKA and/or associated and/or subsidiary and/or affiliated companies including those acquired or incorporated during the period of insurance for their respective rights and interests.</t>
  </si>
  <si>
    <t>0901042400499</t>
  </si>
  <si>
    <t>30901042400229</t>
  </si>
  <si>
    <t xml:space="preserve">PT. Hexpharm Jaya Laboratories and/or associated and/or subsidiary and/or affiliated companies including those acquired or incorporated during the period of insurance for their respective rights and interest </t>
  </si>
  <si>
    <t>PRIVATE WAREHOUSE</t>
  </si>
  <si>
    <t>0901042500040</t>
  </si>
  <si>
    <t>Pharmaceutical Products Factory</t>
  </si>
  <si>
    <t>0901042400405</t>
  </si>
  <si>
    <t>30901042400337</t>
  </si>
  <si>
    <t>PERHIMPUNAN PENGHUNI RUMAH SUSUN HUNIAN DAN NON HUNIAN GRAND ITC PERMATA HIJAU and/or subsidiary/ies and/or associated companies and/or affiliated companies including those acquired or incorporated during the period of insurance for their respective rights and interests</t>
  </si>
  <si>
    <t>Shopping mall/center Grade B and/or sales activities and/or operation activities and/or other activities related to the insured`s business</t>
  </si>
  <si>
    <t>0901042400492</t>
  </si>
  <si>
    <t>30901042400477</t>
  </si>
  <si>
    <t xml:space="preserve">PT PUTRAGAYA WAHANA and/or subsidiary/ies and/or associated companies and/or affiliated companies including those acquired or incorporated during the period of insurance for their respective rights and interests </t>
  </si>
  <si>
    <t>Apartments/condominiums, offices, Hotel, multi-storeyed car parks exceeding 24 storeys above ground in connect on the Insured’s trade of business</t>
  </si>
  <si>
    <t>0901042400483</t>
  </si>
  <si>
    <t>30901042400535</t>
  </si>
  <si>
    <t>BINTANG TOEDJOE</t>
  </si>
  <si>
    <t>0901042400371</t>
  </si>
  <si>
    <t>30901042400540</t>
  </si>
  <si>
    <t>DUTA PERTIWI, TBK, PT. (PUSAT GROSIR WONOKROMO) and/or subsidiary/ies and/or associated companies and/or affiliated companies including those acquired or incorporated during the period of insurance for their respective rights and interests</t>
  </si>
  <si>
    <t>0901042400425</t>
  </si>
  <si>
    <t>30901042400697</t>
  </si>
  <si>
    <t>PT CENTRAL PROTEINA PRIMA Tbk QQ PT BANK RAKYAT INDONESIA Tbk and/or associated and/or subsidiary and/or affiliated companies including those acquired or incorporated during the period of insurance for their respective rights and interests.</t>
  </si>
  <si>
    <t>Meat and Meat Products and Fish Products Factories / Cold Storages</t>
  </si>
  <si>
    <t>0101042500051</t>
  </si>
  <si>
    <t>40101042400005</t>
  </si>
  <si>
    <t>Indosat Ooredoo (PT Indosat, Tbk)</t>
  </si>
  <si>
    <t>Telecommunication operator engaged in furnishing telephone voice and data communication including their telephone transmission such as optical fiber and microwave or satellite facilities</t>
  </si>
  <si>
    <t>INWARD FACULTATIVE</t>
  </si>
  <si>
    <t>0101042500052</t>
  </si>
  <si>
    <t>0101042500053</t>
  </si>
  <si>
    <t>0101042500054</t>
  </si>
  <si>
    <t>0101042500056</t>
  </si>
  <si>
    <t>0101042500057</t>
  </si>
  <si>
    <t>0101042500058</t>
  </si>
  <si>
    <t>0101042500059</t>
  </si>
  <si>
    <t>0101042500060</t>
  </si>
  <si>
    <t>0101042500061</t>
  </si>
  <si>
    <t>0101042500062</t>
  </si>
  <si>
    <t>0101042500063</t>
  </si>
  <si>
    <t>0101042500065</t>
  </si>
  <si>
    <t>0101042500066</t>
  </si>
  <si>
    <t>0101042500067</t>
  </si>
  <si>
    <t>0101042500068</t>
  </si>
  <si>
    <t>0101042500069</t>
  </si>
  <si>
    <t>0101042500070</t>
  </si>
  <si>
    <t>0101042500071</t>
  </si>
  <si>
    <t>0101042500072</t>
  </si>
  <si>
    <t>0101042500073</t>
  </si>
  <si>
    <t>0101042500074</t>
  </si>
  <si>
    <t>0101042500075</t>
  </si>
  <si>
    <t>0101042500076</t>
  </si>
  <si>
    <t>0101042500077</t>
  </si>
  <si>
    <t>0101042500078</t>
  </si>
  <si>
    <t>0101042500079</t>
  </si>
  <si>
    <t>0101042500080</t>
  </si>
  <si>
    <t>0101042500081</t>
  </si>
  <si>
    <t>0101042500082</t>
  </si>
  <si>
    <t>0101042500084</t>
  </si>
  <si>
    <t>0101042500085</t>
  </si>
  <si>
    <t>0101042500086</t>
  </si>
  <si>
    <t>0101042500087</t>
  </si>
  <si>
    <t>0101042500088</t>
  </si>
  <si>
    <t>0101042500089</t>
  </si>
  <si>
    <t>0101042500090</t>
  </si>
  <si>
    <t>0101042500091</t>
  </si>
  <si>
    <t>0101042500092</t>
  </si>
  <si>
    <t>0101042500093</t>
  </si>
  <si>
    <t>0101042500094</t>
  </si>
  <si>
    <t>40101042400022</t>
  </si>
  <si>
    <t>DJARUM GROUP including any subsidiary and/or related company of the unnamed of this existing at the commencement of this insurance or formade, purchased or otherwise acquired during the currency of the policy for their respective rights and interest.</t>
  </si>
  <si>
    <t>0301052400005</t>
  </si>
  <si>
    <t>20301052400004</t>
  </si>
  <si>
    <t>PT GEMA LESTARI INDONESIA</t>
  </si>
  <si>
    <t>Manufacture of plywood (triplex, multiplex) and veneer and blacboard, laminboard, fancy flooring and other related product provided carried out in the same (plywood) manucture building using formaldehyde synthetic resin adhesive and/or sales activities and/or operation activities and/or others related to the insured business.</t>
  </si>
  <si>
    <t>1101052400006</t>
  </si>
  <si>
    <t>21101052400001</t>
  </si>
  <si>
    <t>PT BANK NEGARA INDONESIA (PERSERO) TBK QQ PT SIPATEX PUTRI LESTARI QQ SENTRA BISNIS KOMERSIAL (SBK) BANDUNG KC JPK and/or subsidiary/ies and/or associated companies and/or affiliated companies including those acquired or incorporated during the period of insurance for their respective rights and interests</t>
  </si>
  <si>
    <t>Mixed Processes (Spinning,Weaving) : Synthetic Fibres and/or sales activities and/or operation activities and/or related to the insured business</t>
  </si>
  <si>
    <t>0201042500002</t>
  </si>
  <si>
    <t>30201042400035</t>
  </si>
  <si>
    <t>PT HOTEL INDONESIA PROPERTY</t>
  </si>
  <si>
    <t>Hotels, Motels, Inns and the like (as 3 stars or higher)</t>
  </si>
  <si>
    <t>0401052500001</t>
  </si>
  <si>
    <t>30401052400019</t>
  </si>
  <si>
    <t>PT BANK CENTRAL ASIA TBK KANTOR CABANG UTAMA SEMARANG QQ PT. TRIPILAR BETON MAS including any subsidiary and/or related company of the unnamed of this existing a the commencement of this insurance or formed, purchased or othe</t>
  </si>
  <si>
    <t>ASBES &amp; GENTENG SILICA BOARD FACTORY (CODE 212) AND/OR PRIVATE WAREHOUSE (CODE 2937) AND/OR OFFICE (CODE 2971) AND ALL OTHER ACTIVITIES INCIDENTAL THERETO AND/OR ALL OTHER OCCUPATION IN WHICH THE INSURED MAY BECOME ENGAGED</t>
  </si>
  <si>
    <t>0701042500283</t>
  </si>
  <si>
    <t>30701042400402</t>
  </si>
  <si>
    <t>PT ABADI AGROSINDO PERSADA including any subsidiary and/or other company and/or related company, existing at the commencement of this insurance of formed, purchased or otherwise acquired during the currency of the policy for</t>
  </si>
  <si>
    <t>Fertilizer Plant/Warehouse and All others facilities related thereto.</t>
  </si>
  <si>
    <t>0701042500275</t>
  </si>
  <si>
    <t>30701042500038</t>
  </si>
  <si>
    <t xml:space="preserve">PT GLICO WINGS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above Insured accepted obligation to insure. </t>
  </si>
  <si>
    <t>Ice Cream Manufacture - Dairies and Dairy Products</t>
  </si>
  <si>
    <t>0701042500284</t>
  </si>
  <si>
    <t>0701042500285</t>
  </si>
  <si>
    <t>0701042500301</t>
  </si>
  <si>
    <t>0701042500302</t>
  </si>
  <si>
    <t>0701042500305</t>
  </si>
  <si>
    <t>0701042500306</t>
  </si>
  <si>
    <t>0701042500321</t>
  </si>
  <si>
    <t>0701042500322</t>
  </si>
  <si>
    <t>0701042500323</t>
  </si>
  <si>
    <t>0701042500243</t>
  </si>
  <si>
    <t>30701042500130</t>
  </si>
  <si>
    <t>0701042500279</t>
  </si>
  <si>
    <t>0701042500316</t>
  </si>
  <si>
    <t>0901042400529</t>
  </si>
  <si>
    <t>30901042400523</t>
  </si>
  <si>
    <t>PERHIMPUNAN PEMILIK DAN PENGHUNI SATUAN RUMAH SUSUN APARTEMEN FRENCH WALK AND AND/OR ASSOCIATED AND/OR SUBSIDIARY AND/OR AFFILIATED COMPANIES INCLUDING THOSE ACQUIRED OR INCORPORATED DURING THE PERIOD OF INSURANCE FOR THEIR RESPECTIVE RIGHTS AND INTERESTS</t>
  </si>
  <si>
    <t>Apartment and/or sales activities and/or operation activities and/or others related to the insured business</t>
  </si>
  <si>
    <t>0901042500038</t>
  </si>
  <si>
    <t>0901042400344</t>
  </si>
  <si>
    <t>30901042400533</t>
  </si>
  <si>
    <t>PPPSRS THE MANSION AT DUKUH GOLF KEMAYORAN CLUSTER JASMINE AND AND/OR ASSOCIATED AND/OR SUBSIDIARY AND/OR AFFILIATED COMPANIES INCLUDING THOSE ACQUIRED OR INCORPORATED DURING THE PERIOD OF INSURANCE FOR THEIR RESPECTIVE RIGHTS AND INTERESTS</t>
  </si>
  <si>
    <t>Apartment and/or sales activities and/or operation activities and/or other activities related to the insured`s business</t>
  </si>
  <si>
    <t>0901042500196</t>
  </si>
  <si>
    <t>0901042500065</t>
  </si>
  <si>
    <t>30901042400652</t>
  </si>
  <si>
    <t>PT. Girimulia Perkasa Jaya as Property Owner QQ PT. Lippo Malls Indonesia as Property Manager and all subsidiary or controlled companies, for their respective rights and interests</t>
  </si>
  <si>
    <t>Shopping Mall Grade A in connect on to the Insured’s trade of business</t>
  </si>
  <si>
    <t>0901042500014</t>
  </si>
  <si>
    <t>30901042500052</t>
  </si>
  <si>
    <t>PT. INDONESIA INTERNATIONAL EXPO AND/OR SUBSIDIARY/IES AND/OR ASSOCIATED COMPANIES AND/OR AFFILIATED COMPANIES INCLUDING THOSE ACQUIRED OR INCORPORATED DURING THE PERIOD OF INSURANCE FOR THEIR RESPECTIVE RIGHTS AND INTERESTS.</t>
  </si>
  <si>
    <t>Convention halls and other multi purpose buildings (but excluding exhibition) and/or sales activities and/or operation activities and/or other activities related to the insured’s business</t>
  </si>
  <si>
    <t>0901042500197</t>
  </si>
  <si>
    <t>0901042500111</t>
  </si>
  <si>
    <t>30901042500155</t>
  </si>
  <si>
    <t>PERHIMPUNAN PEMILIK DAN PENGHUNI SATUAN RUMAH SUSUN ITC DEPOK AND/ORSUBSIDIARY/IES AND/OR ASSOCIATED COMPANIES AND/OR AFFILIATED COMPANIES INCLUDING THOSE ACQUIRED OR INCORPORATED DURING THE PERIOD OF INSURANCE FOR THEIR RESPECTIVE RIGHTS AND INTERESTS.</t>
  </si>
  <si>
    <t>Shopping Centre and/or Department Store Including Shop Houses and/orsales activities and/or operation activities and/or other activities related to the insured’s business</t>
  </si>
  <si>
    <t>0901042500062</t>
  </si>
  <si>
    <t>30901042500203</t>
  </si>
  <si>
    <t>PPPSRS CAPITOL PARK RESIDENCE AND/OR SUBSIDIARY/IES AND/OR ASSOCIATED COMPANIES AND/OR AFFILIATED COMPANIES INCLUDING THOSE ACQUIRED OR INCORPORATED DURING THE PERIOD OF INSURANCE FOR THEIR RESPECTIVE RIGHTS AND INTERESTS</t>
  </si>
  <si>
    <t>Apartments/ condominiums, offices, multi-storeyed car parks -exceeding 24 storeys above ground and/or sales activities and/or operation activities and/or other activities related to the insured`s business</t>
  </si>
  <si>
    <t>0901042500140</t>
  </si>
  <si>
    <t>30901042500239</t>
  </si>
  <si>
    <t>PT Global Chemindo Megatrading and/or associated and/or subsidiary and/or affiliated companies including those acquired or incorporated during the period of insurance for their respective rights and interests.</t>
  </si>
  <si>
    <t>0901042500109</t>
  </si>
  <si>
    <t>30901042500320</t>
  </si>
  <si>
    <t>GRAHA ABIRAMA PERSADA, PT. and/or subsidiary/ies and/or associated companies and/or affiliated companies including those acquired or incorporated during the period of insurance for their respective rights and interests</t>
  </si>
  <si>
    <t>0901042500098</t>
  </si>
  <si>
    <t>30901042500435</t>
  </si>
  <si>
    <t>PERHIMPUNAN PEMILIK DAN PENGHUNI SATUAN RUMAH SUSUN APARTMENT THE ELEMENTS AND/OR PT. BUMI SERPONG DAMAI, TBK and/or subsidiary/ies and/or associated companies and/or affiliated companies including those acquired or incorporated during the period of insurance for their respective rights and interests</t>
  </si>
  <si>
    <t>0901042500113</t>
  </si>
  <si>
    <t>30901042500470</t>
  </si>
  <si>
    <t>PT ENSEVAL PUTERA MEGATRADING and/or associated and/or subsidiary and/or affiliated companies including those acquired or incorporated during the period of insurance for their respective rights and interests</t>
  </si>
  <si>
    <t xml:space="preserve">Warehouse Building &amp; Electrical Installation </t>
  </si>
  <si>
    <t>0901042500135</t>
  </si>
  <si>
    <t>30901042500486</t>
  </si>
  <si>
    <t>PPPSRS APT. THAMRIN RESIDENCES AND/OR ASSOCIATED AND/OR SUBSIDIARY AND/OR AFFILIATED COMPANIES INCLUDING THOSE ACQUIRED OR INCORPORATED DURING THE PERIOD OF INSURANCE FOR THEIR RESPECTIVE RIGHTS AND INTERESTS.</t>
  </si>
  <si>
    <t>0901042500158</t>
  </si>
  <si>
    <t>0901042500173</t>
  </si>
  <si>
    <t>0901052500001</t>
  </si>
  <si>
    <t>30901052400603</t>
  </si>
  <si>
    <t>PT TRI SAKTI PURWOSARI MAKMUR and/or subsidiary/ies and/or associated companies and/or affiliated companies including those acquired or incorporated during the period of insurance for their respective rights and interests</t>
  </si>
  <si>
    <t>Cigarette Manufacture</t>
  </si>
  <si>
    <t>0901242500013</t>
  </si>
  <si>
    <t>30901242400052</t>
  </si>
  <si>
    <t>PPPSRS KOMERSIAL HUNIAN THE PAKUBUWONO VIEW AND/OR ASSOCIATED AND/OR SUBSIDIARY AND/OR AFFILIATED COMPANIES INCLUDING THOSE ACQUIRED OR INCORPORATED DURING THE PERIOD OF INSURANCE FOR THEIR RESPECTIVE RIGHTS AND INTERESTS.</t>
  </si>
  <si>
    <t>Apartment and Office and/or sales activities and/or operation activities and/or others related to the insured business.</t>
  </si>
  <si>
    <t>0901242400015</t>
  </si>
  <si>
    <t>30901242400061</t>
  </si>
  <si>
    <t>PT SRIKAYA, PT.AS BUILDING MANAGER AND/OR P3SRS MEDIATERANIA GAJAHMADA and/or associated and/or subsidiary and/or affiliated companies including those aCquired or incorporated during the period of insurance for their respective rights and intersts</t>
  </si>
  <si>
    <t>Apartement and/or sales activities and/or operation activities and/or others related to the insured business</t>
  </si>
  <si>
    <t>0901242500001</t>
  </si>
  <si>
    <t>30901242400065</t>
  </si>
  <si>
    <t>PPPSRSSH THE PAKUBUWONO SPRING AND/OR ASSOCIATED AND/OR SUBSIDIARY AND/OR AFFILIATED COMPANIES INCLUDING THOSE ACQUIRED OR INCORPORATED DURING THE PERIOD OF INSURANCE FOR THEIR RESPECTIVE RIGHTS AND INTERESTS.</t>
  </si>
  <si>
    <t>Apartment and/or sales activities and/or operation activities and/or others related to the insured business.</t>
  </si>
  <si>
    <t>0901242500012</t>
  </si>
  <si>
    <t>0901242500015</t>
  </si>
  <si>
    <t>30901242500002</t>
  </si>
  <si>
    <t>PERHIMPUNAN PEMILIK DAN PENGHUNI SATUAN RUMAH SUSUN (P3SRS) APARTEMEN EKSEKUTIF MENTENG AND/OR PT TODA EKSEKUTIF PROPERTIES AND/OR PT. ASCOTT INTERNATIONAL MANAGEMENT INDONESIA AND/OR ASSOCIATED AND/OR SUBSIDIARY AND/OR AFFIL</t>
  </si>
  <si>
    <t>Apartments/ condominiums, offices, multi-storeyed car parks exceeding 6 storeys up to 18 storeys above ground level d and/or sales activities and/or operation activities and/or others related to the insured business</t>
  </si>
  <si>
    <t>1101042400021</t>
  </si>
  <si>
    <t>31101042400031</t>
  </si>
  <si>
    <t>PT SINAR CONTINENTAL</t>
  </si>
  <si>
    <t>Weaving, Pre-Weaving</t>
  </si>
  <si>
    <t>1101042500020</t>
  </si>
  <si>
    <t>31101042400069</t>
  </si>
  <si>
    <t>PT BANK UOB INDONESIA QQ PT SANSAN SAUDARATEX JAYA</t>
  </si>
  <si>
    <t>Garment Factory / Private Warehouse</t>
  </si>
  <si>
    <t>0101042500002</t>
  </si>
  <si>
    <t>40101042400054</t>
  </si>
  <si>
    <t>PT BRI KCK JAKARTA QQ PT KEBUN TEBU MAS</t>
  </si>
  <si>
    <t>Sugar Mills excl. Spontaneous Combustion</t>
  </si>
  <si>
    <t>0701042500076</t>
  </si>
  <si>
    <t>30701042500114</t>
  </si>
  <si>
    <t>PT TRIAS SENTOSA TBK including any subsidiary and/or related company of the unnamed of this existing at the commencement of this insurance or formed, purchased or otherwise acquired during the currency of the Policy for their respective rights and interests. It is also agreed and declared that the named Insured includes the interest of any joint venture where PT TRIAS SENTOSA TBK accepted obligation to insure</t>
  </si>
  <si>
    <t>Manufacture of Plastics Film and/or Private Warehouse and/or Office and all other activities incidental thereto and/or all other occupation in which the Insured may become engaged</t>
  </si>
  <si>
    <t>USD</t>
  </si>
  <si>
    <t>0701042400155</t>
  </si>
  <si>
    <t>0701042400230</t>
  </si>
  <si>
    <t>30701042400004</t>
  </si>
  <si>
    <t>PT MULTIMAS NABATI ASAHAN including any subsidiary and/or other company and/or related company, existing at the commencement of this insurance of formed, purchased or otherwise acquired during the currency of the policy for their respective rights and interests. It is also agreed and declared that the name insured includes the interest of any joint venture where PT.MULTIMAS NABATI ASAHAN accepted obligation to insure.</t>
  </si>
  <si>
    <t>Palm Karnel Plant/ CPO Refinery &amp; Fractionation Plant/ Refinery Specialty Fat/ CPKO Fractionation Plant/ Bottling Plant/ Cogent Plant/ Deoil Plant/ Power Plant/ Palm Oil Mill/ Storage Tanks/ Texturing Plnt/ Consumer Pack/ Jetty/ Staffs Housing/ Guest House/ Office Building/ IE Plant/ CBR Plant/ Flaker Plant/ Consumer PAck Plant Cap. 579 TDP and allother facillties related thereo</t>
  </si>
  <si>
    <t>0901052400015</t>
  </si>
  <si>
    <t>30901052300561</t>
  </si>
  <si>
    <t>PT. KAHATEX and/or subsidiary and/or affiliated and/or associated and/or for their respective rights and interests</t>
  </si>
  <si>
    <t>Mixed Processes (Spinning, Weaving) : Synthectic Fibres and/or Sales Activities and/or Operation Activities and/or Others Related to the Insured Business</t>
  </si>
  <si>
    <t>0901052400017</t>
  </si>
  <si>
    <t>30901052300564</t>
  </si>
  <si>
    <t>Mixed Processes (Spinning, weaving) : Synthetic fibres and/or sales activities and/or operation activities and/or others related to the insured business</t>
  </si>
  <si>
    <t>0701042500299</t>
  </si>
  <si>
    <t>30701042400280</t>
  </si>
  <si>
    <t>PT. AYOE INDOTAMA TEXTILE and/or group of companies and/or their respective subsidiary and/or affiliated and/or associated and/or inter related companies and/or any other companies owned, operated, managed or controlled and/or all, for their respective rights and interest or as more fully stated in the policy.</t>
  </si>
  <si>
    <t>Dyeing &amp; Finishing</t>
  </si>
  <si>
    <t>0701042500231</t>
  </si>
  <si>
    <t>30701042400385</t>
  </si>
  <si>
    <t>PT. BANK MANDIRI (PERSERO), Tbk QQ PT. BUDI TEXINDO PRAKARSA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BANK MANDIRI (PERSERO), TBK QQ PT. BUDI TEXINDO PRAKARSA accepted obligation to insure.</t>
  </si>
  <si>
    <t>2402/Spinning Mills, Pre-spinning: Vegetable and Cellulose Fibres and/or Private Warehouse and/or Office and all other activities incidental thereto and/or all other occupation in which the Insured may become engaged.</t>
  </si>
  <si>
    <t>0701052500043</t>
  </si>
  <si>
    <t>30701052400024</t>
  </si>
  <si>
    <t>PT. BANK NEGARA INDONESIA (PERSERO) TBK QQ PT. BANK NEGARA SKM BANDUNG QQ PT. AYOE INDOTAMA TEXTILE and/or group of companies and/or their respective subsidiary and/or affiliated and/or associated and/or inter related compani</t>
  </si>
  <si>
    <t>0701042400158</t>
  </si>
  <si>
    <t>30701052400025</t>
  </si>
  <si>
    <t>PT. BANK OCBC NISP, TBK QQ PT AYOE INDOTAMA TEXTILE and/or group of companies and/or their respective subsidiary and/or affiliated and/or associated and/or inter related companies and/or any other companies owned, operated, managed or controlled and/or all, for their respective rights and interest or as more fully stated in the policy.</t>
  </si>
  <si>
    <t>Mixed (knitting, garment, clothing) processing works, custom tailors, umbrella factories, felt goods factories, lace.</t>
  </si>
  <si>
    <t>Engineering Quota Share Surplus</t>
  </si>
  <si>
    <t>1908012400001</t>
  </si>
  <si>
    <t>30208012300007</t>
  </si>
  <si>
    <t>PT WIJAYA KARYA (PERSERO) TBK as main contractor and/or sub- contractors and/or consultant(s) and/or suppliers for their respective rights and interest</t>
  </si>
  <si>
    <t>ENGINEERING</t>
  </si>
  <si>
    <t>N/A</t>
  </si>
  <si>
    <t>0208012400011</t>
  </si>
  <si>
    <t>30208012400015</t>
  </si>
  <si>
    <t>PEMERINTAH INDONESIA cq KEMENTERIAN PERHUBUNGAN Republik Indonesia cq DIREKTORAT JENDRAL PERHUBUNGAN UDARA cq PEJABAT PENANDATANGANAN KONTRAK (PPK) as Owner/Principal and/or PT HUTAMA KARYA (Persero) as Main Contractor and/or subcontractors and/or other parties and/or inter-related companies relating to this Contractor work/project for their respective rights and interests.</t>
  </si>
  <si>
    <t>0208012500001</t>
  </si>
  <si>
    <t>30208012400016</t>
  </si>
  <si>
    <t>PEMERINTAH REPUBLIK INDONESIA c.q. KEMENTERIAN PEKERJAAN UMUM DAN PERUMAHAN RAKYAT c.q. DIREKTORAT JENDERAL CIPTA KARYA c.q. BALAI PRASARANA PERMUKIMAN WILAYAH KALIMANTAN TIMUR c.q. Satuan Kerja Pelaksanaan Prasarana Permukiman Provinsi Kalimantan Timur c.q. Pejabat Penandatanganan Kontrak as Owner and/or PT WIJAYA KARYA BANGUNAN GEDUNG Tbk. – PT CIRIAJASA E.C. (KSO) as Main Contractor and/or sub-contractors and/or other parties and/or inter-related companies relating to this Contractor work/project for their respective rights and interests.</t>
  </si>
  <si>
    <t>0608032400001</t>
  </si>
  <si>
    <t>30608032300008</t>
  </si>
  <si>
    <t>PT BANK CENTRAL ASIA, TBK QQ PT MERIDAN SEJATISURYA PLANTATION</t>
  </si>
  <si>
    <t>Edible Oils Plants &amp; Other Plants Producing Edible Palm Oil, etc.</t>
  </si>
  <si>
    <t>0908012400007</t>
  </si>
  <si>
    <t>30908012300022</t>
  </si>
  <si>
    <t>BANK INDONESIA</t>
  </si>
  <si>
    <t>0908032400129</t>
  </si>
  <si>
    <t>30908032400009</t>
  </si>
  <si>
    <t>0908032400078</t>
  </si>
  <si>
    <t>30908032400083</t>
  </si>
  <si>
    <t>PT KALBE FARMA TBK and/or associated and/or subsidiary and/or affiliated companies including those acquired or incorporated during the period of insurance for their respective rights and interests.</t>
  </si>
  <si>
    <t>Pharmaceutical Product Factory</t>
  </si>
  <si>
    <t>0908032400058</t>
  </si>
  <si>
    <t>30908032400093</t>
  </si>
  <si>
    <t>Warehouse Building &amp; Electrical Installation</t>
  </si>
  <si>
    <t>0108122300015</t>
  </si>
  <si>
    <t>40108122300001</t>
  </si>
  <si>
    <t>PT PLN Nusantara Power</t>
  </si>
  <si>
    <t>0308142500002</t>
  </si>
  <si>
    <t>10308142400033</t>
  </si>
  <si>
    <t>PT SUMBER URIP SEJATI</t>
  </si>
  <si>
    <t>IIIINDUS-0007</t>
  </si>
  <si>
    <t>All Operations of the insured business, including but not limited to CPO Manufacture / Factory and/or other activities and other occupation related to the insured`s nature of business</t>
  </si>
  <si>
    <t>0308142500003</t>
  </si>
  <si>
    <t>0608142500001</t>
  </si>
  <si>
    <t>10608142400025</t>
  </si>
  <si>
    <t>PT BANK PERKREDITAN RAKYAT ARTHA MARGAHAYU QQ MENDRI</t>
  </si>
  <si>
    <t>001AGRIC-0005</t>
  </si>
  <si>
    <t>LAND CLEARING</t>
  </si>
  <si>
    <t>0708052400009</t>
  </si>
  <si>
    <t>10708052400036</t>
  </si>
  <si>
    <t>PT RIUNG MITRA LESTARI and/or all associated and/or subsidiary companies including those acquired or incorporated during the period of insurance for their respective rights and interests</t>
  </si>
  <si>
    <t>0708052400006</t>
  </si>
  <si>
    <t>10708052400064</t>
  </si>
  <si>
    <t>PT RIUNG MITRA LESTARI</t>
  </si>
  <si>
    <t>1408052400013</t>
  </si>
  <si>
    <t>11408052400004</t>
  </si>
  <si>
    <t>SANY CAPITAL SINGAPORE PTE LTD QQ PT. BESAR OLEH SIRTU</t>
  </si>
  <si>
    <t>1408052400009</t>
  </si>
  <si>
    <t>11408052400177</t>
  </si>
  <si>
    <t>SANY CAPITAL SINGAPORE PTE LTD QQ CV. SELAMAT MANDIRI PRATAMA</t>
  </si>
  <si>
    <t>1408052500009</t>
  </si>
  <si>
    <t>11408052400538</t>
  </si>
  <si>
    <t>SANY CAPITAL SINGAPORE PTE LTD QQ  PT. JAGO RENTAL</t>
  </si>
  <si>
    <t>1408052400008</t>
  </si>
  <si>
    <t>11408052400560</t>
  </si>
  <si>
    <t>SANY CAPITAL SINGAPORE PTE LTD QQ  CV. SELAMAT MANDIRI PRATAMA</t>
  </si>
  <si>
    <t>1408052500002</t>
  </si>
  <si>
    <t>11408052400690</t>
  </si>
  <si>
    <t>PT. BRI MULTIFINANCE INDONESIA QQ  PT. SUKSES HARAPAN REZEKI MAKMUR</t>
  </si>
  <si>
    <t>1408052500005</t>
  </si>
  <si>
    <t>11408052400721</t>
  </si>
  <si>
    <t>KOPERASI SERBA USAHA JASA ABADI SUMATERA UTARA</t>
  </si>
  <si>
    <t>1508142400003</t>
  </si>
  <si>
    <t>11508142400053</t>
  </si>
  <si>
    <t>BIMA NUSA INTERNASIONAL</t>
  </si>
  <si>
    <t>MINING</t>
  </si>
  <si>
    <t>1508142500001</t>
  </si>
  <si>
    <t>11508142400091</t>
  </si>
  <si>
    <t>1608032400002</t>
  </si>
  <si>
    <t>11608032400006</t>
  </si>
  <si>
    <t>INTI AGRO MAKMUR   ( NON-VIP ) ( NON-VIP ) ( NON-VIP )</t>
  </si>
  <si>
    <t>GUDANG</t>
  </si>
  <si>
    <t>1708142500001</t>
  </si>
  <si>
    <t>11708142400045</t>
  </si>
  <si>
    <t>PT BANK NEGARA INDONESIA (PERSERO) TBK MAKASSAR COMMERCIAL BUSINESS CENTER QQ PT SAMUDERA MULIA ABADI</t>
  </si>
  <si>
    <t>PERTAMBANGAN</t>
  </si>
  <si>
    <t>1908052500002</t>
  </si>
  <si>
    <t>11908052400009</t>
  </si>
  <si>
    <t>PT HASNUR RIUNG SINERGI and/or all associated and/or subsidiary companies including those acquired or incorporated during the period of insurance for their respective rights and interests</t>
  </si>
  <si>
    <t>1908052400001</t>
  </si>
  <si>
    <t>11908052400014</t>
  </si>
  <si>
    <t>PT HASNUR RIUNG SINERGI AND/OR ALL ASSOCIATED AND/OR SUBSIDIARY COMPANIES INCLUDING THOSE ACQUIRED OR INCORPORATED DURING THE PERIOD OF INSURANCE FOR THEIR RESPECTIVE RIGHTS AND INTERESTS</t>
  </si>
  <si>
    <t>1908052500005</t>
  </si>
  <si>
    <t>0308032500009</t>
  </si>
  <si>
    <t>30308032400088</t>
  </si>
  <si>
    <t>PT CAHAYAPUTRA ASA KERAMIK TBK. and/or subsidiary/les and/or associated companies and/or affiliated companies including those acquired or incorporated</t>
  </si>
  <si>
    <t>Ceramic Factory</t>
  </si>
  <si>
    <t>0608032400003</t>
  </si>
  <si>
    <t>30608032400021</t>
  </si>
  <si>
    <t>PT MERIDAN SEJATISURYA PLANTATION</t>
  </si>
  <si>
    <t>0708042500009</t>
  </si>
  <si>
    <t>30708042400001</t>
  </si>
  <si>
    <t>PT BANK PERMATA Tbk Including any subsidiary and/or related company, existing at the commencement of this insurance or formed, purchased or otherwise acquired during the currency of the Policy for their respective rights and</t>
  </si>
  <si>
    <t>0708042500017</t>
  </si>
  <si>
    <t>0708042500021</t>
  </si>
  <si>
    <t>PT BANK PERMATA Tbk Including any subsidiary and/or related company, existing at the commencement of this insurance or formed, purchased or otherwise acquired during the currency of the Policy for their respective rights and interests.</t>
  </si>
  <si>
    <t>0708082500022</t>
  </si>
  <si>
    <t>30708082400009</t>
  </si>
  <si>
    <t xml:space="preserve">PT WASKITA SRIWIJAYA TOLL (WST) QQ PT SARANA MULTI INFRASTRUKTUR (PERSERO) </t>
  </si>
  <si>
    <t>HIGHWAYS / TOLL ROAD</t>
  </si>
  <si>
    <t>0708082500005</t>
  </si>
  <si>
    <t>30708082400011</t>
  </si>
  <si>
    <t>BADAN PENGATUR JALAN TOL (BPJT) KEMENTERIAN PEKERJAAN UMUM DAN PERUMAHAN RAKYAT and/or PT. JTD JAYA PRATAMA and/or other subsidiary company or related company, existing at the commencement of this insurance or formed, purchased  or otherwise  acquired during the currency of the Policy for their respective rights and interest.  It is also agreed and declared that the name insured shall includes the interests of any joint venture where BADAN PENGATUR JALAN TOL (BPJT) KEMENTERIAN PEKERJAAN UMUM DAN PERUMAHAN RAKYAT and/or PT. JTD JAYA PRATAMA accepted obligation to insure.</t>
  </si>
  <si>
    <t>TOLL ROAD (Construction Firms, Road Construction &amp; Construction Sites) INCLUDING TOLL ROAD, OVERPASS, UNDERPASS, BRIDGES, EQUIPMENT AND BUILDING/BOOTHS LOCATED AT THE AREA</t>
  </si>
  <si>
    <t>0908032400028</t>
  </si>
  <si>
    <t>30908032400086</t>
  </si>
  <si>
    <t>PP SUDIRMAN MANSION AND AND/OR ASSOCIATED AND/OR SUBSIDIARY AND/OR AFFILIATED COMPANIES INCLUDING THOSE ACQUIRED OR INCORPORATED DURING THE PERIOD OF INSURANCE FOR THEIR RESPECTIVE RIGHTS AND INTERESTS</t>
  </si>
  <si>
    <t>Apartment</t>
  </si>
  <si>
    <t>0908032400130</t>
  </si>
  <si>
    <t>30908032400102</t>
  </si>
  <si>
    <t>P3SRS THE MANSION AT DUKUH GOLF KEMAYORAN (THE MANSION @BOUGENVILLE TOWER) AND AND/OR ASSOCIATED AND/OR SUBSIDIARY AND/OR AFFILIATED COMPANIES INCLUDING THOSE ACQUIRED OR INCORPORATED DURING THE PERIOD OF INSURANCE FOR THEIR RESPECTIVE RIGHTS AND INTERESTS</t>
  </si>
  <si>
    <t>0908032500033</t>
  </si>
  <si>
    <t>30908032400123</t>
  </si>
  <si>
    <t>APARTMENT AND/OR SALES ACTIVITIES AND/OR OPERATION ACTIVITIES AND/OR OTHER ACTIVITIES RELATED TO THE INSURED’S BUSINESS</t>
  </si>
  <si>
    <t>0908032400121</t>
  </si>
  <si>
    <t>30908032400137</t>
  </si>
  <si>
    <t>PAKUBUWONO DEVELOPMENT AND/OR ASSOCIATED AND/OR SUBSIDIARY AND/OR AFFILIATED COMPANIES INCLUDING THOSE ACQUIRED OR INCORPORATED DURING THE PERIOD OF INSURANCE FOR THEIR RESPECTIVE RIGHTS AND INTERESTS.</t>
  </si>
  <si>
    <t>Office (Material Damage) and/or sales activities and/or operation activities and/or others related to the insured business.</t>
  </si>
  <si>
    <t>0908032400062</t>
  </si>
  <si>
    <t>30908032400143</t>
  </si>
  <si>
    <t>MANDIRI DIPTA CIPTA AND/OR ASSOCIATED AND/OR SUBSIDIARY AND/OR AFFILIATED COMPANIES INCLUDING THOSE ACQUIRED OR INCORPORATED DURING THE PERIOD OF INSURANCE FOR THEIR RESPECTIVE RIGHTS AND INTERESTS.</t>
  </si>
  <si>
    <t>Shopping Centre and/or sales activities and/or operation activities and/or others related to the insured business.</t>
  </si>
  <si>
    <t>0908032500018</t>
  </si>
  <si>
    <t>30908032400144</t>
  </si>
  <si>
    <t>PPPSRSS VICTORIA SQUARE AND/OR ASSOCIATED AND/OR SUBSIDIARY AND/OR AFFILIATED COMPANIES INCLUDING THOSE ACQUIRED OR INCORPORATED DURING THE PERIOD OF INSURANCE FOR THEIR RESPECTIVE RIGHTS AND INTERESTS.</t>
  </si>
  <si>
    <t>Apartement and/or sales activities and/or operation activities and/or others related to the insured business.</t>
  </si>
  <si>
    <t>0908032500001</t>
  </si>
  <si>
    <t>30908032400259</t>
  </si>
  <si>
    <t>PT Lippo Karawaci Tbk as Property Owner and as Operating Company and/or PT. Lippo Malls Indonesia as Property Manager and/or all subsidiary or controlled for their respective rights and interests</t>
  </si>
  <si>
    <t>0908032500030</t>
  </si>
  <si>
    <t>30908032500066</t>
  </si>
  <si>
    <t>PT. SINAR KENCANA INTI PERKASA _ PSM 3 AND/OR COMPANIES LISTED IN THE ATTACHMENT AND/OR ASSOCIATED COMPANIES AND/OR SUBSIDIARY COMPANIES AND/OR AFFILIATED COMPANIES INCLUDING THOSE ACQUIRED OR INCORPORATED DURING THE PERIOD O</t>
  </si>
  <si>
    <t>Palm Oil Factory and/or Storage Tanks and/or Bulking Station and/or Oleo Chemical and/or Margarine Factory and/or Chemical Factory and/or Mineral Water Factory and/or Office and/or Dwelling House and/or sales activities and/or trading and distribution and/or Food and Beverage Factory and/or Glycerin and Fatty Acid Manufacturers and/or Private Warehouse and/or Wood Pallet Factory and/or Corn Mill and/or operation activities and/or other activities related to the Insured’s business</t>
  </si>
  <si>
    <t>0908032500062</t>
  </si>
  <si>
    <t>30908032500071</t>
  </si>
  <si>
    <t>PERHIMPUNAN PENGHUNI RUMAH SUSUN NON HUNIAN ITC CEMPAKA MAS MEGA GROSIR AND/OR SUBSIDIARY/IES AND/OR ASSOCIATED COMPANIES AND/OR AFFILIATED COMPANIES INCLUDING THOSE ACQUIRED OR INCORPORATED DURING THE PERIOD OF INSURANCE FOR THEIR RESPECTIVE RIGHTS AND INTERESTS.</t>
  </si>
  <si>
    <t>Shopping Centre / Office Building and/or sales activities and/or operation activities and/or other activities related to the insured’s business</t>
  </si>
  <si>
    <t>0908032500061</t>
  </si>
  <si>
    <t>30908032500107</t>
  </si>
  <si>
    <t>PPPSRS APARTEMEN MEDITERANIA GARDEN RESIDENCES 2 ASSOCIATED AND/OR SUBSIDIARY AND/OR AFFILIATED COMPANIES INCLUDING THOSE ACQUIRED OR INCORPORATED DURING THE PERIOD OF INSURANCE FOR THEIR RESPECTIVE RIGHTS AND INTERESTS.</t>
  </si>
  <si>
    <t>0908032500050</t>
  </si>
  <si>
    <t>30908032500114</t>
  </si>
  <si>
    <t>P3SRS KOMERSIAL CAMPURAN SEASONS CITY AND/OR ASSOCIATED AND/OR SUBSIDIARY AND/OR AFFILIATED COMPANIES INCLUDING THOSE ACQUIRED OR INCORPORATED DURING THE PERIOD OF INSURANCE FOR THEIR RESPECTIVE RIGHTS AND INTERESTS</t>
  </si>
  <si>
    <t>Apartment and/or Office and/or sales activities and/or operation activities and/or others related to the insured business.</t>
  </si>
  <si>
    <t>0908052400027</t>
  </si>
  <si>
    <t>30908052400007</t>
  </si>
  <si>
    <t>PT INDOLAMPUNG PERKASA including any subsidiary and/or related company, existing at the commencement of this insurance or formed, purchased or otherwise acquired during the currency of the policy for their respective rights and interest / It is also noted and agreed that the named Insured includes the interest of any joint venture where the above insured accepted obligation to insure.</t>
  </si>
  <si>
    <t>0908052400010</t>
  </si>
  <si>
    <t>30908052400016</t>
  </si>
  <si>
    <t>PT MIZUHO LEASING INDOENSIA TBK QQ PT SUPERKRANE MITRA UTAMA, TBK and/or associated and/or subsidiary and/or affiliated companies including those acquired or incorporated during the period of insurance for their respective rights and interests</t>
  </si>
  <si>
    <t>0908052400017</t>
  </si>
  <si>
    <t>30908052400019</t>
  </si>
  <si>
    <t>PT RIMBA PERKASA UTAMA including any subsidiary and/or related company, existing at the commencement of this insurance or formed, purchased or otherwise acquired during the currency of the policy for their respective rights a</t>
  </si>
  <si>
    <t>0908052500001</t>
  </si>
  <si>
    <t>30908052400146</t>
  </si>
  <si>
    <t>PT RIMBA PERKASA UTAMA INCLUDING ANY SUBSIDIARY AND/OR RELATED COMPANY, EXISTING AT THE COMMENCEMENT OF THIS INSURANCE OR FORMED, PURCHASED OR OTHERWISE ACQUIRED DURING THE CURRENCY OF THE POLICY FOR THEIR RESPECTIVE RIGHTS A</t>
  </si>
  <si>
    <t>0908052500006</t>
  </si>
  <si>
    <t>0208052500010</t>
  </si>
  <si>
    <t>10208052500005</t>
  </si>
  <si>
    <t>PT MANDIRI TUNAS FINANCE QQ PT. BANK MANDIRI (PERSERO), TBK QQ PT KUMALA BAHTERA UTAMA</t>
  </si>
  <si>
    <t>0208052500005</t>
  </si>
  <si>
    <t>10208052500016</t>
  </si>
  <si>
    <t>PT KUMALA BAHTERA  UTAMA</t>
  </si>
  <si>
    <t>0208052500001</t>
  </si>
  <si>
    <t>10208052500027</t>
  </si>
  <si>
    <t>PT MANDIRI TUNAS FINANCE QQ PT. BANK MANDIRI (PERSERO), TBK QQ PT KUMALA BAHTERA UTAMA  ( NON-VIP )</t>
  </si>
  <si>
    <t>1408052500014</t>
  </si>
  <si>
    <t>11408052500043</t>
  </si>
  <si>
    <t>PT. SANY PERKASA QQ  PT. PANCA ALFA MAKMUR</t>
  </si>
  <si>
    <t>1208052500005</t>
  </si>
  <si>
    <t>21208052500001</t>
  </si>
  <si>
    <t>PT. KARYA TERANG UTAMA</t>
  </si>
  <si>
    <t>General Accident Surplus</t>
  </si>
  <si>
    <t>Claims
(Marsh Re Share)</t>
  </si>
  <si>
    <t>0909012500063</t>
  </si>
  <si>
    <t>30909012400195</t>
  </si>
  <si>
    <t>P3SRS MEDITERANIA GARDEN RESIDENCES 2 P INDIVIDUAL OWNER INCLUDING SUBSIDIARY AND/OR RELATED COMPANY, EXISTING AT THE COMMENCEMENT OF THIS INSURANCE OR FORMED, PURCHASED OR OTHERWISE ACQUIRED DURING THE CURRENCY OF THIS POLICY FOR THEIR RESPECTIVE RIGHTS AND INTEREST.</t>
  </si>
  <si>
    <t>GENERAL ACCIDENT</t>
  </si>
  <si>
    <t>Marine Cargo Quota Share Surplus</t>
  </si>
  <si>
    <t>0203032300001</t>
  </si>
  <si>
    <t>10203032300078</t>
  </si>
  <si>
    <t>PT TIGA DAYA ENERGI QQ PT PLN BATU BARA</t>
  </si>
  <si>
    <t>MARINE CARGO</t>
  </si>
  <si>
    <t>0903032300048</t>
  </si>
  <si>
    <t>30903032300282</t>
  </si>
  <si>
    <t>PT SMART/JAKARTACPKO/JAKARTA/INTERISLAND/AGUSTUS/2023 and/or subsidiaries and/or associated companies and/or affiliated companies of the insured and/or other for whom the insured has agreed to obtain insurance and/or other companies as nay be advised and/or their subsidiaries and/or associated companies and/or their affiliated companies and/or employess, agent, directors, officer of the insured and/or other such persons as the insured may elec and/or whom the insured has agreed to insure throughout the period of this policy and/or as may be agreed for their respective rights and interests. (Subject to as per list of clients as provided later)</t>
  </si>
  <si>
    <t>1603092400001</t>
  </si>
  <si>
    <t>11603092400001</t>
  </si>
  <si>
    <t>CV BUKIT MAS</t>
  </si>
  <si>
    <t>0903022400005</t>
  </si>
  <si>
    <t>30903022400050</t>
  </si>
  <si>
    <t>PT KRAKATAU STEEL (PERSERO) TBK QQ</t>
  </si>
  <si>
    <t>1603032400007</t>
  </si>
  <si>
    <t>31603032400096</t>
  </si>
  <si>
    <t xml:space="preserve">PT. PUTRABALI ADYAMULIA  </t>
  </si>
  <si>
    <t>0303032500002</t>
  </si>
  <si>
    <t>10303032500011</t>
  </si>
  <si>
    <t>PT MULTI PRAWN INDONESIA</t>
  </si>
  <si>
    <t>0303072500006</t>
  </si>
  <si>
    <t>10303072500013</t>
  </si>
  <si>
    <t>PT SURYA PAMENANG</t>
  </si>
  <si>
    <t>0303072500007</t>
  </si>
  <si>
    <t>10303072500028</t>
  </si>
  <si>
    <t>0303072500008</t>
  </si>
  <si>
    <t>10303072500033</t>
  </si>
  <si>
    <t>0303072500009</t>
  </si>
  <si>
    <t>0303072500010</t>
  </si>
  <si>
    <t>0303072500011</t>
  </si>
  <si>
    <t>0303072500015</t>
  </si>
  <si>
    <t>0303072500013</t>
  </si>
  <si>
    <t>10303072500040</t>
  </si>
  <si>
    <t>0303072500014</t>
  </si>
  <si>
    <t>0303072500016</t>
  </si>
  <si>
    <t>10303072500042</t>
  </si>
  <si>
    <t>0303072500017</t>
  </si>
  <si>
    <t>0303072500018</t>
  </si>
  <si>
    <t>10303072500051</t>
  </si>
  <si>
    <t>0903032400059</t>
  </si>
  <si>
    <t>30903032400095</t>
  </si>
  <si>
    <t>GLOBAL AGRO EXIM</t>
  </si>
  <si>
    <t>1603032400002</t>
  </si>
  <si>
    <t>31603032400082</t>
  </si>
  <si>
    <t>1603032400003</t>
  </si>
  <si>
    <t>1603032400004</t>
  </si>
  <si>
    <t>1603032400005</t>
  </si>
  <si>
    <t>1603032400006</t>
  </si>
  <si>
    <t>1603032400008</t>
  </si>
  <si>
    <t>1603032400009</t>
  </si>
  <si>
    <t>1603032400010</t>
  </si>
  <si>
    <t>1603032400011</t>
  </si>
  <si>
    <t>0903032500050</t>
  </si>
  <si>
    <t>30903032500018</t>
  </si>
  <si>
    <t>PT. ARGHA KARYA PRIMA INDUSTRY, TBK</t>
  </si>
  <si>
    <t>Money Insurance Quota Share</t>
  </si>
  <si>
    <t>0712032500010</t>
  </si>
  <si>
    <t>30712032400029</t>
  </si>
  <si>
    <t>PT. BANK PERMATA TBK and/or subsidiary and/or affiliated and/or inter-related companies for their respective rights and interest.</t>
  </si>
  <si>
    <t>MONEY INSURANCE</t>
  </si>
  <si>
    <t>0712032500011</t>
  </si>
  <si>
    <t>Fire Surplus</t>
  </si>
  <si>
    <t>Claims
(Marein Share)</t>
  </si>
  <si>
    <t>Outstanding Claims 
(Marein Share)</t>
  </si>
  <si>
    <t>Claim Quota Share
(Marein Share)</t>
  </si>
  <si>
    <t>Claim Surplus
(Marein Share)</t>
  </si>
  <si>
    <t>Money Insurance Quota Share Surplus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</si>
</sst>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 #,##0_-;_-* &quot;-&quot;_-;_-@_-"/>
    <numFmt numFmtId="165" formatCode="_-* #,##0.00_-;\-* #,##0.00_-;_-* &quot;-&quot;??_-;_-@_-"/>
    <numFmt numFmtId="166" formatCode="_(* #,##0_);_(* \(#,##0\);_(* &quot;-&quot;??_);_(@_)"/>
    <numFmt numFmtId="167" formatCode="_-* #,##0.00_-;\-* #,##0.00_-;_-* &quot;-&quot;_-;_-@_-"/>
  </numFmts>
  <fonts count="6">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1"/>
      <name val="Calibri"/>
      <family val="2"/>
      <scheme val="minor"/>
    </font>
  </fonts>
  <fills count="3">
    <fill>
      <patternFill patternType="none"/>
    </fill>
    <fill>
      <patternFill patternType="gray125"/>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42">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wrapText="1"/>
    </xf>
    <xf numFmtId="0" fontId="3" fillId="2" borderId="1" xfId="0" applyFont="1" applyFill="1" applyBorder="1" applyAlignment="1">
      <alignment horizontal="center" vertical="center" wrapText="1"/>
    </xf>
    <xf numFmtId="0" fontId="0" fillId="0" borderId="7" xfId="0" applyBorder="1"/>
    <xf numFmtId="0" fontId="0" fillId="0" borderId="5" xfId="0" applyBorder="1"/>
    <xf numFmtId="0" fontId="3" fillId="0" borderId="0" xfId="0" applyFont="1"/>
    <xf numFmtId="0" fontId="4" fillId="0" borderId="0" xfId="0" applyFont="1"/>
    <xf numFmtId="0" fontId="2" fillId="0" borderId="4" xfId="0" applyFont="1" applyBorder="1"/>
    <xf numFmtId="0" fontId="2" fillId="0" borderId="6" xfId="0" applyFont="1" applyBorder="1"/>
    <xf numFmtId="0" fontId="5" fillId="0" borderId="1" xfId="0" applyFont="1" applyBorder="1" applyAlignment="1">
      <alignment horizontal="center"/>
    </xf>
    <xf numFmtId="0" fontId="5" fillId="0" borderId="1" xfId="0" applyFont="1" applyBorder="1"/>
    <xf numFmtId="166" fontId="5" fillId="0" borderId="1" xfId="0" applyNumberFormat="1" applyFont="1" applyBorder="1"/>
    <xf numFmtId="0" fontId="5" fillId="0" borderId="0" xfId="0" applyFont="1"/>
    <xf numFmtId="0" fontId="0" fillId="0" borderId="0" xfId="0" applyAlignment="1">
      <alignment horizontal="center"/>
    </xf>
    <xf numFmtId="15" fontId="5" fillId="0" borderId="1" xfId="0" applyNumberFormat="1" applyFont="1" applyBorder="1" applyAlignment="1">
      <alignment horizontal="center"/>
    </xf>
    <xf numFmtId="167" fontId="0" fillId="0" borderId="0" xfId="2" applyNumberFormat="1" applyFont="1"/>
    <xf numFmtId="43" fontId="5" fillId="0" borderId="1" xfId="0" applyNumberFormat="1" applyFont="1" applyBorder="1"/>
    <xf numFmtId="165" fontId="0" fillId="0" borderId="0" xfId="0" applyNumberFormat="1"/>
    <xf numFmtId="0" fontId="5" fillId="0" borderId="0" xfId="0" applyFont="1" applyAlignment="1">
      <alignment horizontal="center"/>
    </xf>
    <xf numFmtId="165" fontId="5" fillId="0" borderId="0" xfId="1" applyNumberFormat="1" applyFont="1" applyBorder="1"/>
    <xf numFmtId="167" fontId="0" fillId="0" borderId="0" xfId="2" applyNumberFormat="1" applyFont="1" applyBorder="1"/>
    <xf numFmtId="167" fontId="5" fillId="0" borderId="0" xfId="2" applyNumberFormat="1" applyFont="1" applyBorder="1"/>
    <xf numFmtId="166" fontId="5" fillId="0" borderId="0" xfId="0" applyNumberFormat="1" applyFont="1"/>
    <xf numFmtId="166" fontId="0" fillId="0" borderId="1" xfId="0" applyNumberFormat="1" applyBorder="1"/>
    <xf numFmtId="165" fontId="5" fillId="0" borderId="1" xfId="0" applyNumberFormat="1" applyFont="1" applyBorder="1"/>
    <xf numFmtId="165" fontId="5" fillId="0" borderId="0" xfId="0" applyNumberFormat="1" applyFont="1"/>
    <xf numFmtId="43" fontId="0" fillId="0" borderId="1" xfId="0" applyNumberFormat="1" applyBorder="1"/>
    <xf numFmtId="0" fontId="5" fillId="0" borderId="1" xfId="0" applyFont="1" applyBorder="1" applyAlignment="1">
      <alignment horizontal="left"/>
    </xf>
    <xf numFmtId="49" fontId="5" fillId="0" borderId="0" xfId="0" applyNumberFormat="1" applyFont="1"/>
    <xf numFmtId="49" fontId="0" fillId="0" borderId="0" xfId="0" applyNumberFormat="1"/>
    <xf numFmtId="165" fontId="5" fillId="0" borderId="0" xfId="1" applyNumberFormat="1" applyFont="1" applyFill="1" applyBorder="1"/>
    <xf numFmtId="167" fontId="0" fillId="0" borderId="0" xfId="2" applyNumberFormat="1" applyFont="1" applyFill="1" applyBorder="1"/>
    <xf numFmtId="167" fontId="5" fillId="0" borderId="0" xfId="2" applyNumberFormat="1" applyFont="1" applyFill="1" applyBorder="1"/>
    <xf numFmtId="167" fontId="0" fillId="0" borderId="0" xfId="2" applyNumberFormat="1" applyFont="1" applyFill="1"/>
    <xf numFmtId="43" fontId="0" fillId="0" borderId="0" xfId="0" applyNumberForma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cellXfs>
  <cellStyles count="3">
    <cellStyle name="Comma" xfId="1" builtinId="3"/>
    <cellStyle name="Comma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B2:AB369"/>
  <sheetViews>
    <sheetView showGridLines="0" tabSelected="1" zoomScale="70" zoomScaleNormal="70" zoomScaleSheetLayoutView="70" workbookViewId="0">
      <pane xSplit="7" ySplit="10" topLeftCell="W11" activePane="bottomRight" state="frozen"/>
      <selection pane="bottomRight" activeCell="AB15" sqref="AB15"/>
      <selection pane="bottomLeft" activeCell="A11" sqref="A11"/>
      <selection pane="topRight" activeCell="H1" sqref="H1"/>
    </sheetView>
  </sheetViews>
  <sheetFormatPr defaultRowHeight="14.45"/>
  <cols>
    <col min="1" max="2" width="4.85546875" customWidth="1"/>
    <col min="3" max="3" width="16.5703125" customWidth="1"/>
    <col min="4" max="4" width="17" customWidth="1"/>
    <col min="5" max="5" width="15.85546875" customWidth="1"/>
    <col min="6" max="6" width="15" style="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7.7109375" customWidth="1"/>
    <col min="19" max="19" width="12.28515625" bestFit="1" customWidth="1"/>
    <col min="20" max="20" width="17.7109375" customWidth="1"/>
    <col min="21" max="22" width="18.85546875" customWidth="1"/>
    <col min="23" max="23" width="17.7109375" bestFit="1" customWidth="1"/>
    <col min="24" max="24" width="23.28515625" bestFit="1" customWidth="1"/>
    <col min="25" max="25" width="19.85546875" customWidth="1"/>
    <col min="26" max="26" width="21" customWidth="1"/>
    <col min="27" max="27" width="18.85546875" bestFit="1" customWidth="1"/>
    <col min="28" max="28" width="6" customWidth="1"/>
  </cols>
  <sheetData>
    <row r="2" spans="2:28" ht="18">
      <c r="B2" s="8" t="s">
        <v>0</v>
      </c>
    </row>
    <row r="3" spans="2:28">
      <c r="B3" s="7" t="s">
        <v>1</v>
      </c>
      <c r="D3" s="9" t="s">
        <v>2</v>
      </c>
      <c r="E3" s="6"/>
    </row>
    <row r="4" spans="2:28">
      <c r="B4" s="7" t="s">
        <v>3</v>
      </c>
      <c r="D4" s="10" t="s">
        <v>4</v>
      </c>
      <c r="E4" s="5"/>
    </row>
    <row r="5" spans="2:28">
      <c r="B5" s="7" t="s">
        <v>5</v>
      </c>
      <c r="D5" s="10" t="s">
        <v>6</v>
      </c>
      <c r="E5" s="5"/>
    </row>
    <row r="6" spans="2:28">
      <c r="O6" s="36"/>
    </row>
    <row r="7" spans="2:28">
      <c r="X7" s="19"/>
    </row>
    <row r="8" spans="2:28">
      <c r="G8"/>
      <c r="H8"/>
      <c r="I8"/>
      <c r="J8"/>
      <c r="L8"/>
      <c r="N8"/>
      <c r="T8" s="19"/>
    </row>
    <row r="9" spans="2:28"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22</v>
      </c>
      <c r="W9" s="37" t="s">
        <v>23</v>
      </c>
      <c r="X9" s="37" t="s">
        <v>24</v>
      </c>
      <c r="Y9" s="37" t="s">
        <v>25</v>
      </c>
      <c r="Z9" s="37" t="s">
        <v>26</v>
      </c>
    </row>
    <row r="10" spans="2:28"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c r="Z10" s="37"/>
    </row>
    <row r="11" spans="2:28" s="14" customFormat="1">
      <c r="B11" s="11">
        <v>1</v>
      </c>
      <c r="C11" s="12" t="s">
        <v>35</v>
      </c>
      <c r="D11" s="12" t="s">
        <v>36</v>
      </c>
      <c r="E11" s="12" t="s">
        <v>37</v>
      </c>
      <c r="F11" s="29" t="s">
        <v>38</v>
      </c>
      <c r="G11" s="11">
        <v>2025</v>
      </c>
      <c r="H11" s="16">
        <v>45658</v>
      </c>
      <c r="I11" s="16">
        <v>46023</v>
      </c>
      <c r="J11" s="11">
        <v>2971</v>
      </c>
      <c r="K11" s="12" t="s">
        <v>39</v>
      </c>
      <c r="L11" s="16">
        <v>45768</v>
      </c>
      <c r="M11" s="12" t="s">
        <v>40</v>
      </c>
      <c r="N11" s="11" t="s">
        <v>41</v>
      </c>
      <c r="O11" s="25">
        <v>11250000</v>
      </c>
      <c r="P11" s="2">
        <v>100</v>
      </c>
      <c r="Q11" s="25">
        <v>11250000</v>
      </c>
      <c r="R11" s="25">
        <v>7678125</v>
      </c>
      <c r="S11" s="25">
        <v>3290627</v>
      </c>
      <c r="T11" s="25">
        <v>0</v>
      </c>
      <c r="U11" s="25">
        <v>281248</v>
      </c>
      <c r="V11" s="18">
        <v>3191907</v>
      </c>
      <c r="W11" s="13">
        <v>0</v>
      </c>
      <c r="X11" s="13">
        <v>0</v>
      </c>
      <c r="Y11" s="13">
        <f>X11*97%</f>
        <v>0</v>
      </c>
      <c r="Z11" s="13"/>
      <c r="AA11" s="31"/>
      <c r="AB11" s="27"/>
    </row>
    <row r="12" spans="2:28" s="14" customFormat="1">
      <c r="B12" s="11">
        <v>2</v>
      </c>
      <c r="C12" s="12" t="s">
        <v>42</v>
      </c>
      <c r="D12" s="12" t="s">
        <v>43</v>
      </c>
      <c r="E12" s="12" t="s">
        <v>44</v>
      </c>
      <c r="F12" s="29" t="s">
        <v>38</v>
      </c>
      <c r="G12" s="11">
        <v>2025</v>
      </c>
      <c r="H12" s="16">
        <v>45734</v>
      </c>
      <c r="I12" s="16">
        <v>47195</v>
      </c>
      <c r="J12" s="11">
        <v>2934</v>
      </c>
      <c r="K12" s="12" t="s">
        <v>45</v>
      </c>
      <c r="L12" s="16">
        <v>45825</v>
      </c>
      <c r="M12" s="12" t="s">
        <v>40</v>
      </c>
      <c r="N12" s="11" t="s">
        <v>41</v>
      </c>
      <c r="O12" s="25">
        <v>25146025</v>
      </c>
      <c r="P12" s="2">
        <v>100</v>
      </c>
      <c r="Q12" s="25">
        <v>25146025</v>
      </c>
      <c r="R12" s="25">
        <v>17162162.0625</v>
      </c>
      <c r="S12" s="25">
        <v>7355212</v>
      </c>
      <c r="T12" s="25">
        <v>0</v>
      </c>
      <c r="U12" s="25">
        <v>628650.9375</v>
      </c>
      <c r="V12" s="18">
        <v>7134556</v>
      </c>
      <c r="W12" s="13">
        <v>0</v>
      </c>
      <c r="X12" s="13">
        <v>44650000</v>
      </c>
      <c r="Y12" s="13">
        <f t="shared" ref="Y12:Y31" si="0">X12*97%</f>
        <v>43310500</v>
      </c>
      <c r="Z12" s="13"/>
      <c r="AA12" s="31"/>
      <c r="AB12" s="27"/>
    </row>
    <row r="13" spans="2:28" s="14" customFormat="1">
      <c r="B13" s="11">
        <v>3</v>
      </c>
      <c r="C13" s="12" t="s">
        <v>46</v>
      </c>
      <c r="D13" s="12" t="s">
        <v>47</v>
      </c>
      <c r="E13" s="12" t="s">
        <v>48</v>
      </c>
      <c r="F13" s="29" t="s">
        <v>38</v>
      </c>
      <c r="G13" s="11">
        <v>2025</v>
      </c>
      <c r="H13" s="16">
        <v>45348</v>
      </c>
      <c r="I13" s="16">
        <v>47175</v>
      </c>
      <c r="J13" s="11">
        <v>2734</v>
      </c>
      <c r="K13" s="12" t="s">
        <v>49</v>
      </c>
      <c r="L13" s="16">
        <v>45840</v>
      </c>
      <c r="M13" s="12" t="s">
        <v>40</v>
      </c>
      <c r="N13" s="11" t="s">
        <v>41</v>
      </c>
      <c r="O13" s="25">
        <v>206378017</v>
      </c>
      <c r="P13" s="2">
        <v>100</v>
      </c>
      <c r="Q13" s="25">
        <v>206378017</v>
      </c>
      <c r="R13" s="25">
        <v>140852996.60249999</v>
      </c>
      <c r="S13" s="25">
        <v>60365570</v>
      </c>
      <c r="T13" s="25">
        <v>0</v>
      </c>
      <c r="U13" s="25">
        <v>5159450.3975000083</v>
      </c>
      <c r="V13" s="18">
        <v>58554603</v>
      </c>
      <c r="W13" s="13">
        <v>0</v>
      </c>
      <c r="X13" s="13">
        <v>263500000</v>
      </c>
      <c r="Y13" s="13">
        <f t="shared" si="0"/>
        <v>255595000</v>
      </c>
      <c r="Z13" s="13"/>
      <c r="AA13" s="31"/>
      <c r="AB13" s="27"/>
    </row>
    <row r="14" spans="2:28" s="14" customFormat="1">
      <c r="B14" s="11">
        <v>4</v>
      </c>
      <c r="C14" s="12" t="s">
        <v>50</v>
      </c>
      <c r="D14" s="12" t="s">
        <v>51</v>
      </c>
      <c r="E14" s="12" t="s">
        <v>52</v>
      </c>
      <c r="F14" s="29" t="s">
        <v>38</v>
      </c>
      <c r="G14" s="11">
        <v>2025</v>
      </c>
      <c r="H14" s="16">
        <v>43530</v>
      </c>
      <c r="I14" s="16">
        <v>47183</v>
      </c>
      <c r="J14" s="11">
        <v>2976</v>
      </c>
      <c r="K14" s="12" t="s">
        <v>53</v>
      </c>
      <c r="L14" s="16">
        <v>45804</v>
      </c>
      <c r="M14" s="12" t="s">
        <v>40</v>
      </c>
      <c r="N14" s="11" t="s">
        <v>41</v>
      </c>
      <c r="O14" s="25">
        <v>6975700</v>
      </c>
      <c r="P14" s="2">
        <v>100</v>
      </c>
      <c r="Q14" s="25">
        <v>6975700</v>
      </c>
      <c r="R14" s="25">
        <v>4760915.25</v>
      </c>
      <c r="S14" s="25">
        <v>2040392</v>
      </c>
      <c r="T14" s="25">
        <v>0</v>
      </c>
      <c r="U14" s="25">
        <v>174392.75</v>
      </c>
      <c r="V14" s="18">
        <v>1979180</v>
      </c>
      <c r="W14" s="13">
        <v>0</v>
      </c>
      <c r="X14" s="13">
        <v>0</v>
      </c>
      <c r="Y14" s="13">
        <f t="shared" si="0"/>
        <v>0</v>
      </c>
      <c r="Z14" s="13"/>
      <c r="AA14" s="31"/>
      <c r="AB14" s="27"/>
    </row>
    <row r="15" spans="2:28" s="14" customFormat="1">
      <c r="B15" s="11">
        <v>5</v>
      </c>
      <c r="C15" s="12" t="s">
        <v>54</v>
      </c>
      <c r="D15" s="12" t="s">
        <v>55</v>
      </c>
      <c r="E15" s="12" t="s">
        <v>56</v>
      </c>
      <c r="F15" s="29" t="s">
        <v>38</v>
      </c>
      <c r="G15" s="11">
        <v>2025</v>
      </c>
      <c r="H15" s="16">
        <v>45299</v>
      </c>
      <c r="I15" s="16">
        <v>48951</v>
      </c>
      <c r="J15" s="11">
        <v>2976</v>
      </c>
      <c r="K15" s="12" t="s">
        <v>57</v>
      </c>
      <c r="L15" s="16">
        <v>45874</v>
      </c>
      <c r="M15" s="12" t="s">
        <v>40</v>
      </c>
      <c r="N15" s="11" t="s">
        <v>41</v>
      </c>
      <c r="O15" s="25">
        <v>45226838</v>
      </c>
      <c r="P15" s="2">
        <v>100</v>
      </c>
      <c r="Q15" s="25">
        <v>45226838</v>
      </c>
      <c r="R15" s="25">
        <v>30867316.934999999</v>
      </c>
      <c r="S15" s="25">
        <v>13228851</v>
      </c>
      <c r="T15" s="25">
        <v>0</v>
      </c>
      <c r="U15" s="25">
        <v>1130670.0650000013</v>
      </c>
      <c r="V15" s="18">
        <v>12831985</v>
      </c>
      <c r="W15" s="13">
        <v>0</v>
      </c>
      <c r="X15" s="13">
        <v>70000000</v>
      </c>
      <c r="Y15" s="13">
        <f t="shared" si="0"/>
        <v>67900000</v>
      </c>
      <c r="Z15" s="13"/>
      <c r="AA15" s="31"/>
      <c r="AB15" s="27"/>
    </row>
    <row r="16" spans="2:28" s="14" customFormat="1">
      <c r="B16" s="11">
        <v>6</v>
      </c>
      <c r="C16" s="12" t="s">
        <v>58</v>
      </c>
      <c r="D16" s="12" t="s">
        <v>59</v>
      </c>
      <c r="E16" s="12" t="s">
        <v>60</v>
      </c>
      <c r="F16" s="29" t="s">
        <v>38</v>
      </c>
      <c r="G16" s="11">
        <v>2025</v>
      </c>
      <c r="H16" s="16">
        <v>45658</v>
      </c>
      <c r="I16" s="16">
        <v>46023</v>
      </c>
      <c r="J16" s="11">
        <v>2971</v>
      </c>
      <c r="K16" s="12" t="s">
        <v>39</v>
      </c>
      <c r="L16" s="16">
        <v>45844</v>
      </c>
      <c r="M16" s="12" t="s">
        <v>40</v>
      </c>
      <c r="N16" s="11" t="s">
        <v>41</v>
      </c>
      <c r="O16" s="25">
        <v>48460500</v>
      </c>
      <c r="P16" s="2">
        <v>100</v>
      </c>
      <c r="Q16" s="25">
        <v>48460500</v>
      </c>
      <c r="R16" s="25">
        <v>33074291.25</v>
      </c>
      <c r="S16" s="25">
        <v>14174696</v>
      </c>
      <c r="T16" s="25">
        <v>0</v>
      </c>
      <c r="U16" s="25">
        <v>1211512.75</v>
      </c>
      <c r="V16" s="18">
        <v>13749455</v>
      </c>
      <c r="W16" s="13">
        <v>0</v>
      </c>
      <c r="X16" s="13">
        <v>0</v>
      </c>
      <c r="Y16" s="13">
        <f t="shared" si="0"/>
        <v>0</v>
      </c>
      <c r="Z16" s="13"/>
      <c r="AA16" s="31"/>
      <c r="AB16" s="27"/>
    </row>
    <row r="17" spans="2:28" s="14" customFormat="1">
      <c r="B17" s="11">
        <v>7</v>
      </c>
      <c r="C17" s="12" t="s">
        <v>61</v>
      </c>
      <c r="D17" s="12" t="s">
        <v>62</v>
      </c>
      <c r="E17" s="12" t="s">
        <v>63</v>
      </c>
      <c r="F17" s="29" t="s">
        <v>38</v>
      </c>
      <c r="G17" s="11">
        <v>2025</v>
      </c>
      <c r="H17" s="16">
        <v>45733</v>
      </c>
      <c r="I17" s="16">
        <v>46098</v>
      </c>
      <c r="J17" s="11">
        <v>29411</v>
      </c>
      <c r="K17" s="12" t="s">
        <v>64</v>
      </c>
      <c r="L17" s="16">
        <v>45788</v>
      </c>
      <c r="M17" s="12" t="s">
        <v>40</v>
      </c>
      <c r="N17" s="11" t="s">
        <v>41</v>
      </c>
      <c r="O17" s="25">
        <v>5309700</v>
      </c>
      <c r="P17" s="2">
        <v>100</v>
      </c>
      <c r="Q17" s="25">
        <v>5309700</v>
      </c>
      <c r="R17" s="25">
        <v>3623870.25</v>
      </c>
      <c r="S17" s="25">
        <v>1553088</v>
      </c>
      <c r="T17" s="25">
        <v>0</v>
      </c>
      <c r="U17" s="25">
        <v>132741.75</v>
      </c>
      <c r="V17" s="18">
        <v>1506495</v>
      </c>
      <c r="W17" s="13">
        <v>0</v>
      </c>
      <c r="X17" s="13">
        <v>0</v>
      </c>
      <c r="Y17" s="13">
        <f t="shared" si="0"/>
        <v>0</v>
      </c>
      <c r="Z17" s="13"/>
      <c r="AA17" s="31"/>
      <c r="AB17" s="27"/>
    </row>
    <row r="18" spans="2:28" s="14" customFormat="1">
      <c r="B18" s="11">
        <v>8</v>
      </c>
      <c r="C18" s="12" t="s">
        <v>65</v>
      </c>
      <c r="D18" s="12" t="s">
        <v>66</v>
      </c>
      <c r="E18" s="12" t="s">
        <v>67</v>
      </c>
      <c r="F18" s="29" t="s">
        <v>38</v>
      </c>
      <c r="G18" s="11">
        <v>2025</v>
      </c>
      <c r="H18" s="16">
        <v>44651</v>
      </c>
      <c r="I18" s="16">
        <v>46112</v>
      </c>
      <c r="J18" s="11">
        <v>2709</v>
      </c>
      <c r="K18" s="12" t="s">
        <v>68</v>
      </c>
      <c r="L18" s="16">
        <v>45896</v>
      </c>
      <c r="M18" s="12" t="s">
        <v>40</v>
      </c>
      <c r="N18" s="11" t="s">
        <v>41</v>
      </c>
      <c r="O18" s="25">
        <v>73100000</v>
      </c>
      <c r="P18" s="2">
        <v>100</v>
      </c>
      <c r="Q18" s="25">
        <v>73100000</v>
      </c>
      <c r="R18" s="25">
        <v>49890750</v>
      </c>
      <c r="S18" s="25">
        <v>21381751</v>
      </c>
      <c r="T18" s="25">
        <v>0</v>
      </c>
      <c r="U18" s="25">
        <v>1827499</v>
      </c>
      <c r="V18" s="18">
        <v>20740298</v>
      </c>
      <c r="W18" s="13">
        <v>0</v>
      </c>
      <c r="X18" s="13">
        <v>0</v>
      </c>
      <c r="Y18" s="13">
        <f t="shared" si="0"/>
        <v>0</v>
      </c>
      <c r="Z18" s="13"/>
      <c r="AA18" s="31"/>
      <c r="AB18" s="27"/>
    </row>
    <row r="19" spans="2:28" s="14" customFormat="1">
      <c r="B19" s="11">
        <v>9</v>
      </c>
      <c r="C19" s="12" t="s">
        <v>69</v>
      </c>
      <c r="D19" s="12" t="s">
        <v>70</v>
      </c>
      <c r="E19" s="12" t="s">
        <v>71</v>
      </c>
      <c r="F19" s="29" t="s">
        <v>38</v>
      </c>
      <c r="G19" s="11">
        <v>2025</v>
      </c>
      <c r="H19" s="16">
        <v>45772</v>
      </c>
      <c r="I19" s="16">
        <v>49423</v>
      </c>
      <c r="J19" s="11">
        <v>2976</v>
      </c>
      <c r="K19" s="12" t="s">
        <v>53</v>
      </c>
      <c r="L19" s="16">
        <v>45812</v>
      </c>
      <c r="M19" s="12" t="s">
        <v>40</v>
      </c>
      <c r="N19" s="11" t="s">
        <v>41</v>
      </c>
      <c r="O19" s="25">
        <v>15364000</v>
      </c>
      <c r="P19" s="2">
        <v>100</v>
      </c>
      <c r="Q19" s="25">
        <v>15364000</v>
      </c>
      <c r="R19" s="25">
        <v>10485930</v>
      </c>
      <c r="S19" s="25">
        <v>4493970</v>
      </c>
      <c r="T19" s="25">
        <v>0</v>
      </c>
      <c r="U19" s="25">
        <v>384100</v>
      </c>
      <c r="V19" s="18">
        <v>4359151</v>
      </c>
      <c r="W19" s="13">
        <v>0</v>
      </c>
      <c r="X19" s="13">
        <v>0</v>
      </c>
      <c r="Y19" s="13">
        <f t="shared" si="0"/>
        <v>0</v>
      </c>
      <c r="Z19" s="13"/>
      <c r="AA19" s="31"/>
      <c r="AB19" s="27"/>
    </row>
    <row r="20" spans="2:28" s="14" customFormat="1">
      <c r="B20" s="11">
        <v>10</v>
      </c>
      <c r="C20" s="12" t="s">
        <v>72</v>
      </c>
      <c r="D20" s="12" t="s">
        <v>73</v>
      </c>
      <c r="E20" s="12" t="s">
        <v>74</v>
      </c>
      <c r="F20" s="29" t="s">
        <v>38</v>
      </c>
      <c r="G20" s="11">
        <v>2025</v>
      </c>
      <c r="H20" s="16">
        <v>44616</v>
      </c>
      <c r="I20" s="16">
        <v>46077</v>
      </c>
      <c r="J20" s="11">
        <v>2734</v>
      </c>
      <c r="K20" s="12" t="s">
        <v>75</v>
      </c>
      <c r="L20" s="16">
        <v>45860</v>
      </c>
      <c r="M20" s="12" t="s">
        <v>40</v>
      </c>
      <c r="N20" s="11" t="s">
        <v>41</v>
      </c>
      <c r="O20" s="25">
        <v>24613875</v>
      </c>
      <c r="P20" s="2">
        <v>100</v>
      </c>
      <c r="Q20" s="25">
        <v>24613875</v>
      </c>
      <c r="R20" s="25">
        <v>16798969.6875</v>
      </c>
      <c r="S20" s="25">
        <v>7199559</v>
      </c>
      <c r="T20" s="25">
        <v>0</v>
      </c>
      <c r="U20" s="25">
        <v>615346.3125</v>
      </c>
      <c r="V20" s="18">
        <v>6983572</v>
      </c>
      <c r="W20" s="13">
        <v>0</v>
      </c>
      <c r="X20" s="13">
        <v>25500000</v>
      </c>
      <c r="Y20" s="13">
        <f t="shared" si="0"/>
        <v>24735000</v>
      </c>
      <c r="Z20" s="13"/>
      <c r="AA20" s="31"/>
      <c r="AB20" s="27"/>
    </row>
    <row r="21" spans="2:28" s="14" customFormat="1">
      <c r="B21" s="11">
        <v>11</v>
      </c>
      <c r="C21" s="12" t="s">
        <v>76</v>
      </c>
      <c r="D21" s="12" t="s">
        <v>77</v>
      </c>
      <c r="E21" s="12" t="s">
        <v>78</v>
      </c>
      <c r="F21" s="29" t="s">
        <v>38</v>
      </c>
      <c r="G21" s="11">
        <v>2025</v>
      </c>
      <c r="H21" s="16">
        <v>45408</v>
      </c>
      <c r="I21" s="16">
        <v>46869</v>
      </c>
      <c r="J21" s="11">
        <v>2934</v>
      </c>
      <c r="K21" s="12" t="s">
        <v>45</v>
      </c>
      <c r="L21" s="16">
        <v>45833</v>
      </c>
      <c r="M21" s="12" t="s">
        <v>40</v>
      </c>
      <c r="N21" s="11" t="s">
        <v>41</v>
      </c>
      <c r="O21" s="25">
        <v>64606365</v>
      </c>
      <c r="P21" s="2">
        <v>100</v>
      </c>
      <c r="Q21" s="25">
        <v>64606365</v>
      </c>
      <c r="R21" s="25">
        <v>44093844.112499997</v>
      </c>
      <c r="S21" s="25">
        <v>18897362</v>
      </c>
      <c r="T21" s="25">
        <v>0</v>
      </c>
      <c r="U21" s="25">
        <v>1615158.887500003</v>
      </c>
      <c r="V21" s="18">
        <v>18330441</v>
      </c>
      <c r="W21" s="13">
        <v>0</v>
      </c>
      <c r="X21" s="13">
        <v>0</v>
      </c>
      <c r="Y21" s="13">
        <f t="shared" si="0"/>
        <v>0</v>
      </c>
      <c r="Z21" s="13"/>
      <c r="AA21" s="31"/>
      <c r="AB21" s="27"/>
    </row>
    <row r="22" spans="2:28" s="14" customFormat="1">
      <c r="B22" s="11">
        <v>12</v>
      </c>
      <c r="C22" s="12" t="s">
        <v>79</v>
      </c>
      <c r="D22" s="12" t="s">
        <v>80</v>
      </c>
      <c r="E22" s="12" t="s">
        <v>81</v>
      </c>
      <c r="F22" s="29" t="s">
        <v>38</v>
      </c>
      <c r="G22" s="11">
        <v>2025</v>
      </c>
      <c r="H22" s="16">
        <v>45777</v>
      </c>
      <c r="I22" s="16">
        <v>46142</v>
      </c>
      <c r="J22" s="11">
        <v>2951</v>
      </c>
      <c r="K22" s="12" t="s">
        <v>82</v>
      </c>
      <c r="L22" s="16">
        <v>45790</v>
      </c>
      <c r="M22" s="12" t="s">
        <v>40</v>
      </c>
      <c r="N22" s="11" t="s">
        <v>41</v>
      </c>
      <c r="O22" s="25">
        <v>97670693</v>
      </c>
      <c r="P22" s="2">
        <v>100</v>
      </c>
      <c r="Q22" s="25">
        <v>97670693</v>
      </c>
      <c r="R22" s="25">
        <v>41241066.117156997</v>
      </c>
      <c r="S22" s="25">
        <v>17674742</v>
      </c>
      <c r="T22" s="25">
        <v>0</v>
      </c>
      <c r="U22" s="25">
        <v>38754884.882843003</v>
      </c>
      <c r="V22" s="18">
        <v>17144500</v>
      </c>
      <c r="W22" s="13">
        <v>0</v>
      </c>
      <c r="X22" s="13">
        <v>113385000</v>
      </c>
      <c r="Y22" s="13">
        <f t="shared" si="0"/>
        <v>109983450</v>
      </c>
      <c r="Z22" s="13"/>
      <c r="AA22" s="31"/>
      <c r="AB22" s="27"/>
    </row>
    <row r="23" spans="2:28" s="14" customFormat="1">
      <c r="B23" s="11">
        <v>13</v>
      </c>
      <c r="C23" s="12" t="s">
        <v>83</v>
      </c>
      <c r="D23" s="12" t="s">
        <v>84</v>
      </c>
      <c r="E23" s="12" t="s">
        <v>85</v>
      </c>
      <c r="F23" s="29" t="s">
        <v>38</v>
      </c>
      <c r="G23" s="11">
        <v>2025</v>
      </c>
      <c r="H23" s="16">
        <v>45746</v>
      </c>
      <c r="I23" s="16">
        <v>46111</v>
      </c>
      <c r="J23" s="11">
        <v>29371</v>
      </c>
      <c r="K23" s="12" t="s">
        <v>86</v>
      </c>
      <c r="L23" s="16">
        <v>45790</v>
      </c>
      <c r="M23" s="12" t="s">
        <v>87</v>
      </c>
      <c r="N23" s="11" t="s">
        <v>41</v>
      </c>
      <c r="O23" s="25">
        <v>87048000</v>
      </c>
      <c r="P23" s="2">
        <v>10</v>
      </c>
      <c r="Q23" s="25">
        <v>8704800</v>
      </c>
      <c r="R23" s="25">
        <v>5941026</v>
      </c>
      <c r="S23" s="25">
        <v>2546154</v>
      </c>
      <c r="T23" s="25">
        <v>0</v>
      </c>
      <c r="U23" s="25">
        <v>217620</v>
      </c>
      <c r="V23" s="18">
        <v>2469769</v>
      </c>
      <c r="W23" s="13">
        <v>0</v>
      </c>
      <c r="X23" s="13">
        <v>49000000</v>
      </c>
      <c r="Y23" s="13">
        <f t="shared" si="0"/>
        <v>47530000</v>
      </c>
      <c r="Z23" s="13"/>
      <c r="AA23" s="31"/>
      <c r="AB23" s="27"/>
    </row>
    <row r="24" spans="2:28" s="14" customFormat="1">
      <c r="B24" s="11">
        <v>14</v>
      </c>
      <c r="C24" s="12" t="s">
        <v>88</v>
      </c>
      <c r="D24" s="12" t="s">
        <v>89</v>
      </c>
      <c r="E24" s="12" t="s">
        <v>90</v>
      </c>
      <c r="F24" s="29" t="s">
        <v>38</v>
      </c>
      <c r="G24" s="11">
        <v>2025</v>
      </c>
      <c r="H24" s="16">
        <v>45717</v>
      </c>
      <c r="I24" s="16">
        <v>46082</v>
      </c>
      <c r="J24" s="11">
        <v>2511</v>
      </c>
      <c r="K24" s="12" t="s">
        <v>91</v>
      </c>
      <c r="L24" s="16">
        <v>45849</v>
      </c>
      <c r="M24" s="12" t="s">
        <v>87</v>
      </c>
      <c r="N24" s="11" t="s">
        <v>41</v>
      </c>
      <c r="O24" s="25">
        <v>27423047</v>
      </c>
      <c r="P24" s="2">
        <v>5</v>
      </c>
      <c r="Q24" s="25">
        <v>1371152.35</v>
      </c>
      <c r="R24" s="25">
        <v>949595.93601063895</v>
      </c>
      <c r="S24" s="25">
        <v>406970</v>
      </c>
      <c r="T24" s="25">
        <v>0</v>
      </c>
      <c r="U24" s="25">
        <v>14586.413989361143</v>
      </c>
      <c r="V24" s="18">
        <v>394761</v>
      </c>
      <c r="W24" s="13">
        <v>0</v>
      </c>
      <c r="X24" s="13">
        <v>46952995</v>
      </c>
      <c r="Y24" s="13">
        <f t="shared" si="0"/>
        <v>45544405.149999999</v>
      </c>
      <c r="Z24" s="13"/>
      <c r="AA24" s="31"/>
      <c r="AB24" s="27"/>
    </row>
    <row r="25" spans="2:28" s="14" customFormat="1">
      <c r="B25" s="11">
        <v>15</v>
      </c>
      <c r="C25" s="12" t="s">
        <v>92</v>
      </c>
      <c r="D25" s="12" t="s">
        <v>93</v>
      </c>
      <c r="E25" s="12" t="s">
        <v>94</v>
      </c>
      <c r="F25" s="29" t="s">
        <v>38</v>
      </c>
      <c r="G25" s="11">
        <v>2025</v>
      </c>
      <c r="H25" s="16">
        <v>45804</v>
      </c>
      <c r="I25" s="16">
        <v>46169</v>
      </c>
      <c r="J25" s="11">
        <v>2532</v>
      </c>
      <c r="K25" s="12" t="s">
        <v>95</v>
      </c>
      <c r="L25" s="16">
        <v>45832</v>
      </c>
      <c r="M25" s="12" t="s">
        <v>87</v>
      </c>
      <c r="N25" s="11" t="s">
        <v>41</v>
      </c>
      <c r="O25" s="25">
        <v>171315163.99999997</v>
      </c>
      <c r="P25" s="2">
        <v>5</v>
      </c>
      <c r="Q25" s="25">
        <v>8565758.1999999993</v>
      </c>
      <c r="R25" s="25">
        <v>5867360.5524463505</v>
      </c>
      <c r="S25" s="25">
        <v>2514584</v>
      </c>
      <c r="T25" s="25">
        <v>0</v>
      </c>
      <c r="U25" s="25">
        <v>183813.6475536488</v>
      </c>
      <c r="V25" s="18">
        <v>2439146</v>
      </c>
      <c r="W25" s="13">
        <v>0</v>
      </c>
      <c r="X25" s="13">
        <v>380603600</v>
      </c>
      <c r="Y25" s="13">
        <f t="shared" si="0"/>
        <v>369185492</v>
      </c>
      <c r="Z25" s="13"/>
      <c r="AA25" s="31"/>
      <c r="AB25" s="27"/>
    </row>
    <row r="26" spans="2:28" s="14" customFormat="1">
      <c r="B26" s="11">
        <v>16</v>
      </c>
      <c r="C26" s="12" t="s">
        <v>96</v>
      </c>
      <c r="D26" s="12" t="s">
        <v>97</v>
      </c>
      <c r="E26" s="12" t="s">
        <v>98</v>
      </c>
      <c r="F26" s="29" t="s">
        <v>38</v>
      </c>
      <c r="G26" s="11">
        <v>2025</v>
      </c>
      <c r="H26" s="16">
        <v>45710</v>
      </c>
      <c r="I26" s="16">
        <v>46022</v>
      </c>
      <c r="J26" s="11" t="s">
        <v>99</v>
      </c>
      <c r="K26" s="12" t="s">
        <v>100</v>
      </c>
      <c r="L26" s="16">
        <v>45773</v>
      </c>
      <c r="M26" s="12" t="s">
        <v>87</v>
      </c>
      <c r="N26" s="11" t="s">
        <v>41</v>
      </c>
      <c r="O26" s="25">
        <v>22620000</v>
      </c>
      <c r="P26" s="2">
        <v>10</v>
      </c>
      <c r="Q26" s="25">
        <v>2262000</v>
      </c>
      <c r="R26" s="25">
        <v>1506632.5737119601</v>
      </c>
      <c r="S26" s="25">
        <v>645700</v>
      </c>
      <c r="T26" s="25">
        <v>0</v>
      </c>
      <c r="U26" s="25">
        <v>109667.42628803989</v>
      </c>
      <c r="V26" s="18">
        <v>626329</v>
      </c>
      <c r="W26" s="13">
        <v>0</v>
      </c>
      <c r="X26" s="13">
        <v>10000000</v>
      </c>
      <c r="Y26" s="13">
        <f t="shared" si="0"/>
        <v>9700000</v>
      </c>
      <c r="Z26" s="13"/>
      <c r="AA26" s="31"/>
      <c r="AB26" s="27"/>
    </row>
    <row r="27" spans="2:28" s="14" customFormat="1">
      <c r="B27" s="11">
        <v>17</v>
      </c>
      <c r="C27" s="12" t="s">
        <v>101</v>
      </c>
      <c r="D27" s="12" t="s">
        <v>102</v>
      </c>
      <c r="E27" s="12" t="s">
        <v>103</v>
      </c>
      <c r="F27" s="29" t="s">
        <v>38</v>
      </c>
      <c r="G27" s="11">
        <v>2025</v>
      </c>
      <c r="H27" s="16">
        <v>45717</v>
      </c>
      <c r="I27" s="16">
        <v>45992</v>
      </c>
      <c r="J27" s="11">
        <v>2975</v>
      </c>
      <c r="K27" s="12" t="s">
        <v>104</v>
      </c>
      <c r="L27" s="16">
        <v>45727</v>
      </c>
      <c r="M27" s="12" t="s">
        <v>87</v>
      </c>
      <c r="N27" s="11" t="s">
        <v>41</v>
      </c>
      <c r="O27" s="25">
        <v>21500000</v>
      </c>
      <c r="P27" s="2">
        <v>10</v>
      </c>
      <c r="Q27" s="25">
        <v>2150000</v>
      </c>
      <c r="R27" s="25">
        <v>1501990</v>
      </c>
      <c r="S27" s="25">
        <v>643710</v>
      </c>
      <c r="T27" s="25">
        <v>0</v>
      </c>
      <c r="U27" s="25">
        <v>4300</v>
      </c>
      <c r="V27" s="18">
        <v>624399</v>
      </c>
      <c r="W27" s="13">
        <v>0</v>
      </c>
      <c r="X27" s="13">
        <v>0</v>
      </c>
      <c r="Y27" s="13">
        <f t="shared" si="0"/>
        <v>0</v>
      </c>
      <c r="Z27" s="13"/>
      <c r="AA27" s="31"/>
      <c r="AB27" s="27"/>
    </row>
    <row r="28" spans="2:28" s="14" customFormat="1">
      <c r="B28" s="11">
        <v>18</v>
      </c>
      <c r="C28" s="12" t="s">
        <v>105</v>
      </c>
      <c r="D28" s="12" t="s">
        <v>106</v>
      </c>
      <c r="E28" s="12" t="s">
        <v>107</v>
      </c>
      <c r="F28" s="29" t="s">
        <v>38</v>
      </c>
      <c r="G28" s="11">
        <v>2025</v>
      </c>
      <c r="H28" s="16">
        <v>45701</v>
      </c>
      <c r="I28" s="16">
        <v>46066</v>
      </c>
      <c r="J28" s="11">
        <v>2465</v>
      </c>
      <c r="K28" s="12" t="s">
        <v>108</v>
      </c>
      <c r="L28" s="16">
        <v>45785</v>
      </c>
      <c r="M28" s="12" t="s">
        <v>87</v>
      </c>
      <c r="N28" s="11" t="s">
        <v>41</v>
      </c>
      <c r="O28" s="25">
        <v>587486416</v>
      </c>
      <c r="P28" s="2">
        <v>6.5</v>
      </c>
      <c r="Q28" s="25">
        <v>38186617.039999999</v>
      </c>
      <c r="R28" s="25">
        <v>26062366.129799999</v>
      </c>
      <c r="S28" s="25">
        <v>11169586</v>
      </c>
      <c r="T28" s="25">
        <v>0</v>
      </c>
      <c r="U28" s="25">
        <v>954664.91019999981</v>
      </c>
      <c r="V28" s="18">
        <v>10834498</v>
      </c>
      <c r="W28" s="13">
        <v>0</v>
      </c>
      <c r="X28" s="13">
        <v>630000000</v>
      </c>
      <c r="Y28" s="13">
        <f t="shared" si="0"/>
        <v>611100000</v>
      </c>
      <c r="Z28" s="13"/>
      <c r="AA28" s="31"/>
      <c r="AB28" s="27"/>
    </row>
    <row r="29" spans="2:28" s="14" customFormat="1">
      <c r="B29" s="11">
        <v>19</v>
      </c>
      <c r="C29" s="12" t="s">
        <v>109</v>
      </c>
      <c r="D29" s="12" t="s">
        <v>110</v>
      </c>
      <c r="E29" s="12" t="s">
        <v>111</v>
      </c>
      <c r="F29" s="29" t="s">
        <v>38</v>
      </c>
      <c r="G29" s="11">
        <v>2025</v>
      </c>
      <c r="H29" s="16">
        <v>45726</v>
      </c>
      <c r="I29" s="16">
        <v>46091</v>
      </c>
      <c r="J29" s="11">
        <v>2591</v>
      </c>
      <c r="K29" s="12" t="s">
        <v>112</v>
      </c>
      <c r="L29" s="16">
        <v>45749</v>
      </c>
      <c r="M29" s="12" t="s">
        <v>87</v>
      </c>
      <c r="N29" s="11" t="s">
        <v>41</v>
      </c>
      <c r="O29" s="25">
        <v>62237802.309999995</v>
      </c>
      <c r="P29" s="2">
        <v>10</v>
      </c>
      <c r="Q29" s="25">
        <v>6223780.2309999997</v>
      </c>
      <c r="R29" s="25">
        <v>4247730.0076575</v>
      </c>
      <c r="S29" s="25">
        <v>1820456</v>
      </c>
      <c r="T29" s="25">
        <v>0</v>
      </c>
      <c r="U29" s="25">
        <v>155594.2233424997</v>
      </c>
      <c r="V29" s="18">
        <v>1765842</v>
      </c>
      <c r="W29" s="13">
        <v>0</v>
      </c>
      <c r="X29" s="13">
        <v>0</v>
      </c>
      <c r="Y29" s="13">
        <f t="shared" si="0"/>
        <v>0</v>
      </c>
      <c r="Z29" s="13"/>
      <c r="AA29" s="31"/>
      <c r="AB29" s="27"/>
    </row>
    <row r="30" spans="2:28" s="14" customFormat="1">
      <c r="B30" s="11">
        <v>20</v>
      </c>
      <c r="C30" s="12" t="s">
        <v>113</v>
      </c>
      <c r="D30" s="12" t="s">
        <v>114</v>
      </c>
      <c r="E30" s="12" t="s">
        <v>115</v>
      </c>
      <c r="F30" s="29" t="s">
        <v>38</v>
      </c>
      <c r="G30" s="11">
        <v>2025</v>
      </c>
      <c r="H30" s="16">
        <v>45699</v>
      </c>
      <c r="I30" s="16">
        <v>46064</v>
      </c>
      <c r="J30" s="11">
        <v>2934</v>
      </c>
      <c r="K30" s="12" t="s">
        <v>116</v>
      </c>
      <c r="L30" s="16">
        <v>45789</v>
      </c>
      <c r="M30" s="12" t="s">
        <v>87</v>
      </c>
      <c r="N30" s="11" t="s">
        <v>41</v>
      </c>
      <c r="O30" s="25">
        <v>695725875</v>
      </c>
      <c r="P30" s="2">
        <v>10</v>
      </c>
      <c r="Q30" s="25">
        <v>69572587.5</v>
      </c>
      <c r="R30" s="25">
        <v>48538475.212499999</v>
      </c>
      <c r="S30" s="25">
        <v>20802204</v>
      </c>
      <c r="T30" s="25">
        <v>0</v>
      </c>
      <c r="U30" s="25">
        <v>231908.28750000149</v>
      </c>
      <c r="V30" s="18">
        <v>20178138</v>
      </c>
      <c r="W30" s="13">
        <v>0</v>
      </c>
      <c r="X30" s="13">
        <v>720000000</v>
      </c>
      <c r="Y30" s="13">
        <f t="shared" si="0"/>
        <v>698400000</v>
      </c>
      <c r="Z30" s="13"/>
      <c r="AA30" s="31"/>
      <c r="AB30" s="27"/>
    </row>
    <row r="31" spans="2:28" s="14" customFormat="1">
      <c r="B31" s="11">
        <v>21</v>
      </c>
      <c r="C31" s="12" t="s">
        <v>117</v>
      </c>
      <c r="D31" s="12" t="s">
        <v>118</v>
      </c>
      <c r="E31" s="12" t="s">
        <v>119</v>
      </c>
      <c r="F31" s="29" t="s">
        <v>38</v>
      </c>
      <c r="G31" s="11">
        <v>2025</v>
      </c>
      <c r="H31" s="16">
        <v>45676</v>
      </c>
      <c r="I31" s="16">
        <v>46041</v>
      </c>
      <c r="J31" s="11">
        <v>2732</v>
      </c>
      <c r="K31" s="12" t="s">
        <v>120</v>
      </c>
      <c r="L31" s="16">
        <v>45761</v>
      </c>
      <c r="M31" s="12" t="s">
        <v>87</v>
      </c>
      <c r="N31" s="11" t="s">
        <v>41</v>
      </c>
      <c r="O31" s="25">
        <v>20433872.397000004</v>
      </c>
      <c r="P31" s="2">
        <v>15</v>
      </c>
      <c r="Q31" s="25">
        <v>3065080.8595500002</v>
      </c>
      <c r="R31" s="25">
        <v>2136579.9128266899</v>
      </c>
      <c r="S31" s="25">
        <v>915678</v>
      </c>
      <c r="T31" s="25">
        <v>0</v>
      </c>
      <c r="U31" s="25">
        <v>12822.946723310277</v>
      </c>
      <c r="V31" s="18">
        <v>888207</v>
      </c>
      <c r="W31" s="13">
        <v>0</v>
      </c>
      <c r="X31" s="13">
        <v>0</v>
      </c>
      <c r="Y31" s="13">
        <f t="shared" si="0"/>
        <v>0</v>
      </c>
      <c r="Z31" s="13"/>
      <c r="AA31" s="31"/>
      <c r="AB31" s="27"/>
    </row>
    <row r="32" spans="2:28" s="14" customFormat="1">
      <c r="B32" s="11">
        <v>22</v>
      </c>
      <c r="C32" s="12" t="s">
        <v>121</v>
      </c>
      <c r="D32" s="12" t="s">
        <v>122</v>
      </c>
      <c r="E32" s="12" t="s">
        <v>123</v>
      </c>
      <c r="F32" s="29" t="s">
        <v>38</v>
      </c>
      <c r="G32" s="11">
        <v>2023</v>
      </c>
      <c r="H32" s="16">
        <v>44957</v>
      </c>
      <c r="I32" s="16">
        <v>45322</v>
      </c>
      <c r="J32" s="11">
        <v>29385</v>
      </c>
      <c r="K32" s="12" t="s">
        <v>124</v>
      </c>
      <c r="L32" s="16">
        <v>45300</v>
      </c>
      <c r="M32" s="12" t="s">
        <v>40</v>
      </c>
      <c r="N32" s="11" t="s">
        <v>41</v>
      </c>
      <c r="O32" s="25">
        <v>232007602</v>
      </c>
      <c r="P32" s="2">
        <v>100</v>
      </c>
      <c r="Q32" s="25">
        <v>232007602</v>
      </c>
      <c r="R32" s="25">
        <v>103114489.777778</v>
      </c>
      <c r="S32" s="25">
        <v>0</v>
      </c>
      <c r="T32" s="25">
        <v>127604182</v>
      </c>
      <c r="U32" s="25">
        <v>1288930.2222220004</v>
      </c>
      <c r="V32" s="18">
        <v>0</v>
      </c>
      <c r="W32" s="13">
        <v>96979178</v>
      </c>
      <c r="X32" s="13">
        <v>250000000</v>
      </c>
      <c r="Y32" s="13">
        <f t="shared" ref="Y32:Y120" si="1">X32*76%</f>
        <v>190000000</v>
      </c>
      <c r="Z32" s="13"/>
      <c r="AA32" s="31"/>
      <c r="AB32" s="27"/>
    </row>
    <row r="33" spans="2:28" s="14" customFormat="1">
      <c r="B33" s="11">
        <v>23</v>
      </c>
      <c r="C33" s="12" t="s">
        <v>125</v>
      </c>
      <c r="D33" s="12" t="s">
        <v>126</v>
      </c>
      <c r="E33" s="12" t="s">
        <v>127</v>
      </c>
      <c r="F33" s="29" t="s">
        <v>38</v>
      </c>
      <c r="G33" s="11">
        <v>2023</v>
      </c>
      <c r="H33" s="16">
        <v>44865</v>
      </c>
      <c r="I33" s="16">
        <v>45596</v>
      </c>
      <c r="J33" s="11">
        <v>2971</v>
      </c>
      <c r="K33" s="12" t="s">
        <v>128</v>
      </c>
      <c r="L33" s="16">
        <v>45365</v>
      </c>
      <c r="M33" s="12" t="s">
        <v>40</v>
      </c>
      <c r="N33" s="11" t="s">
        <v>41</v>
      </c>
      <c r="O33" s="25">
        <v>113007135.34</v>
      </c>
      <c r="P33" s="2">
        <v>100</v>
      </c>
      <c r="Q33" s="25">
        <v>113007135.34</v>
      </c>
      <c r="R33" s="25">
        <v>30658605.936623</v>
      </c>
      <c r="S33" s="25">
        <v>0</v>
      </c>
      <c r="T33" s="25">
        <v>81965297</v>
      </c>
      <c r="U33" s="25">
        <v>383232.40337699652</v>
      </c>
      <c r="V33" s="18">
        <v>0</v>
      </c>
      <c r="W33" s="13">
        <v>62293626</v>
      </c>
      <c r="X33" s="13">
        <v>305750000</v>
      </c>
      <c r="Y33" s="13">
        <f t="shared" si="1"/>
        <v>232370000</v>
      </c>
      <c r="Z33" s="13"/>
      <c r="AA33" s="31"/>
      <c r="AB33" s="27"/>
    </row>
    <row r="34" spans="2:28" s="14" customFormat="1">
      <c r="B34" s="11">
        <v>24</v>
      </c>
      <c r="C34" s="12" t="s">
        <v>129</v>
      </c>
      <c r="D34" s="12" t="s">
        <v>130</v>
      </c>
      <c r="E34" s="12" t="s">
        <v>131</v>
      </c>
      <c r="F34" s="29" t="s">
        <v>38</v>
      </c>
      <c r="G34" s="11">
        <v>2023</v>
      </c>
      <c r="H34" s="16">
        <v>45169</v>
      </c>
      <c r="I34" s="16">
        <v>45535</v>
      </c>
      <c r="J34" s="11">
        <v>2790</v>
      </c>
      <c r="K34" s="12" t="s">
        <v>132</v>
      </c>
      <c r="L34" s="16">
        <v>45502</v>
      </c>
      <c r="M34" s="12" t="s">
        <v>133</v>
      </c>
      <c r="N34" s="11" t="s">
        <v>41</v>
      </c>
      <c r="O34" s="25">
        <v>13986000</v>
      </c>
      <c r="P34" s="2">
        <v>60</v>
      </c>
      <c r="Q34" s="25">
        <v>8391600</v>
      </c>
      <c r="R34" s="25">
        <v>111888</v>
      </c>
      <c r="S34" s="25">
        <v>0</v>
      </c>
      <c r="T34" s="25">
        <v>1678319</v>
      </c>
      <c r="U34" s="25">
        <v>6601393</v>
      </c>
      <c r="V34" s="18">
        <v>0</v>
      </c>
      <c r="W34" s="13">
        <v>1275523</v>
      </c>
      <c r="X34" s="13">
        <v>0</v>
      </c>
      <c r="Y34" s="13">
        <f t="shared" si="1"/>
        <v>0</v>
      </c>
      <c r="Z34" s="13"/>
      <c r="AA34" s="31"/>
      <c r="AB34" s="27"/>
    </row>
    <row r="35" spans="2:28" s="14" customFormat="1">
      <c r="B35" s="11">
        <v>25</v>
      </c>
      <c r="C35" s="12" t="s">
        <v>134</v>
      </c>
      <c r="D35" s="12" t="s">
        <v>135</v>
      </c>
      <c r="E35" s="12" t="s">
        <v>136</v>
      </c>
      <c r="F35" s="29" t="s">
        <v>38</v>
      </c>
      <c r="G35" s="11">
        <v>2023</v>
      </c>
      <c r="H35" s="16">
        <v>45291</v>
      </c>
      <c r="I35" s="16">
        <v>45657</v>
      </c>
      <c r="J35" s="11">
        <v>2732</v>
      </c>
      <c r="K35" s="12" t="s">
        <v>137</v>
      </c>
      <c r="L35" s="16">
        <v>45602</v>
      </c>
      <c r="M35" s="12" t="s">
        <v>87</v>
      </c>
      <c r="N35" s="11" t="s">
        <v>41</v>
      </c>
      <c r="O35" s="25">
        <v>27179840</v>
      </c>
      <c r="P35" s="2">
        <v>10</v>
      </c>
      <c r="Q35" s="25">
        <v>2717984</v>
      </c>
      <c r="R35" s="25">
        <v>2695805.3398882099</v>
      </c>
      <c r="S35" s="25">
        <v>0</v>
      </c>
      <c r="T35" s="25">
        <v>17686</v>
      </c>
      <c r="U35" s="25">
        <v>4492.6601117900573</v>
      </c>
      <c r="V35" s="18">
        <v>0</v>
      </c>
      <c r="W35" s="13">
        <v>13441</v>
      </c>
      <c r="X35" s="13">
        <v>0</v>
      </c>
      <c r="Y35" s="13">
        <f t="shared" si="1"/>
        <v>0</v>
      </c>
      <c r="Z35" s="13"/>
      <c r="AA35" s="31"/>
      <c r="AB35" s="27"/>
    </row>
    <row r="36" spans="2:28" s="14" customFormat="1">
      <c r="B36" s="11">
        <v>26</v>
      </c>
      <c r="C36" s="12" t="s">
        <v>138</v>
      </c>
      <c r="D36" s="12" t="s">
        <v>139</v>
      </c>
      <c r="E36" s="12" t="s">
        <v>140</v>
      </c>
      <c r="F36" s="29" t="s">
        <v>38</v>
      </c>
      <c r="G36" s="11">
        <v>2023</v>
      </c>
      <c r="H36" s="16">
        <v>45291</v>
      </c>
      <c r="I36" s="16">
        <v>45657</v>
      </c>
      <c r="J36" s="11">
        <v>2702</v>
      </c>
      <c r="K36" s="12" t="s">
        <v>141</v>
      </c>
      <c r="L36" s="16">
        <v>45306</v>
      </c>
      <c r="M36" s="12" t="s">
        <v>87</v>
      </c>
      <c r="N36" s="11" t="s">
        <v>41</v>
      </c>
      <c r="O36" s="25">
        <v>45908490</v>
      </c>
      <c r="P36" s="2">
        <v>10</v>
      </c>
      <c r="Q36" s="25">
        <v>4590849</v>
      </c>
      <c r="R36" s="25">
        <v>817774.36689131299</v>
      </c>
      <c r="S36" s="25">
        <v>0</v>
      </c>
      <c r="T36" s="25">
        <v>3773074.0000000098</v>
      </c>
      <c r="U36" s="25">
        <v>0.63310867734253407</v>
      </c>
      <c r="V36" s="18">
        <v>0</v>
      </c>
      <c r="W36" s="13">
        <v>2867537</v>
      </c>
      <c r="X36" s="13">
        <v>0</v>
      </c>
      <c r="Y36" s="13">
        <f t="shared" si="1"/>
        <v>0</v>
      </c>
      <c r="Z36" s="13"/>
      <c r="AA36" s="31"/>
      <c r="AB36" s="27"/>
    </row>
    <row r="37" spans="2:28" s="14" customFormat="1">
      <c r="B37" s="11">
        <v>27</v>
      </c>
      <c r="C37" s="12" t="s">
        <v>142</v>
      </c>
      <c r="D37" s="12" t="s">
        <v>143</v>
      </c>
      <c r="E37" s="12" t="s">
        <v>144</v>
      </c>
      <c r="F37" s="29" t="s">
        <v>38</v>
      </c>
      <c r="G37" s="11">
        <v>2023</v>
      </c>
      <c r="H37" s="16">
        <v>45291</v>
      </c>
      <c r="I37" s="16">
        <v>45657</v>
      </c>
      <c r="J37" s="11">
        <v>2702</v>
      </c>
      <c r="K37" s="12" t="s">
        <v>141</v>
      </c>
      <c r="L37" s="16">
        <v>45359</v>
      </c>
      <c r="M37" s="12" t="s">
        <v>87</v>
      </c>
      <c r="N37" s="11" t="s">
        <v>41</v>
      </c>
      <c r="O37" s="25">
        <v>4624499275</v>
      </c>
      <c r="P37" s="2">
        <v>10</v>
      </c>
      <c r="Q37" s="25">
        <v>462449927.5</v>
      </c>
      <c r="R37" s="25">
        <v>202256152.16849199</v>
      </c>
      <c r="S37" s="25">
        <v>0</v>
      </c>
      <c r="T37" s="25">
        <v>260193776</v>
      </c>
      <c r="U37" s="25">
        <v>-0.66849198937416077</v>
      </c>
      <c r="V37" s="18">
        <v>0</v>
      </c>
      <c r="W37" s="13">
        <v>197747269</v>
      </c>
      <c r="X37" s="13">
        <v>4624499275</v>
      </c>
      <c r="Y37" s="13">
        <f t="shared" si="1"/>
        <v>3514619449</v>
      </c>
      <c r="Z37" s="13"/>
      <c r="AA37" s="31"/>
      <c r="AB37" s="27"/>
    </row>
    <row r="38" spans="2:28" s="14" customFormat="1">
      <c r="B38" s="11">
        <v>28</v>
      </c>
      <c r="C38" s="12" t="s">
        <v>145</v>
      </c>
      <c r="D38" s="12" t="s">
        <v>146</v>
      </c>
      <c r="E38" s="12" t="s">
        <v>147</v>
      </c>
      <c r="F38" s="29" t="s">
        <v>38</v>
      </c>
      <c r="G38" s="11">
        <v>2023</v>
      </c>
      <c r="H38" s="16">
        <v>45194</v>
      </c>
      <c r="I38" s="16">
        <v>45560</v>
      </c>
      <c r="J38" s="11">
        <v>2522</v>
      </c>
      <c r="K38" s="12" t="s">
        <v>148</v>
      </c>
      <c r="L38" s="16">
        <v>45213</v>
      </c>
      <c r="M38" s="12" t="s">
        <v>87</v>
      </c>
      <c r="N38" s="11" t="s">
        <v>41</v>
      </c>
      <c r="O38" s="25">
        <v>7514446571.6999989</v>
      </c>
      <c r="P38" s="2">
        <v>5</v>
      </c>
      <c r="Q38" s="25">
        <v>375722328.58499998</v>
      </c>
      <c r="R38" s="25">
        <v>213503726.95479101</v>
      </c>
      <c r="S38" s="25">
        <v>0</v>
      </c>
      <c r="T38" s="25">
        <v>162040682</v>
      </c>
      <c r="U38" s="25">
        <v>177919.63020896912</v>
      </c>
      <c r="V38" s="18">
        <v>0</v>
      </c>
      <c r="W38" s="13">
        <v>123150918</v>
      </c>
      <c r="X38" s="13">
        <v>0</v>
      </c>
      <c r="Y38" s="13">
        <f t="shared" si="1"/>
        <v>0</v>
      </c>
      <c r="Z38" s="13"/>
      <c r="AA38" s="31"/>
      <c r="AB38" s="27"/>
    </row>
    <row r="39" spans="2:28" s="14" customFormat="1">
      <c r="B39" s="11">
        <v>29</v>
      </c>
      <c r="C39" s="12" t="s">
        <v>149</v>
      </c>
      <c r="D39" s="12" t="s">
        <v>150</v>
      </c>
      <c r="E39" s="12" t="s">
        <v>151</v>
      </c>
      <c r="F39" s="29" t="s">
        <v>38</v>
      </c>
      <c r="G39" s="11">
        <v>2023</v>
      </c>
      <c r="H39" s="16">
        <v>45194</v>
      </c>
      <c r="I39" s="16">
        <v>45560</v>
      </c>
      <c r="J39" s="11">
        <v>2522</v>
      </c>
      <c r="K39" s="12" t="s">
        <v>152</v>
      </c>
      <c r="L39" s="16">
        <v>45213</v>
      </c>
      <c r="M39" s="12" t="s">
        <v>87</v>
      </c>
      <c r="N39" s="11" t="s">
        <v>41</v>
      </c>
      <c r="O39" s="25">
        <v>397694544.59999996</v>
      </c>
      <c r="P39" s="2">
        <v>5</v>
      </c>
      <c r="Q39" s="25">
        <v>19884727.23</v>
      </c>
      <c r="R39" s="25">
        <v>11299470.5134326</v>
      </c>
      <c r="S39" s="25">
        <v>0</v>
      </c>
      <c r="T39" s="25">
        <v>8575841.0000000205</v>
      </c>
      <c r="U39" s="25">
        <v>9415.7165673803538</v>
      </c>
      <c r="V39" s="18">
        <v>0</v>
      </c>
      <c r="W39" s="13">
        <v>6517639.0000000102</v>
      </c>
      <c r="X39" s="13">
        <v>0</v>
      </c>
      <c r="Y39" s="13">
        <f t="shared" si="1"/>
        <v>0</v>
      </c>
      <c r="Z39" s="13"/>
      <c r="AA39" s="31"/>
      <c r="AB39" s="27"/>
    </row>
    <row r="40" spans="2:28" s="14" customFormat="1">
      <c r="B40" s="11">
        <v>30</v>
      </c>
      <c r="C40" s="12" t="s">
        <v>153</v>
      </c>
      <c r="D40" s="12" t="s">
        <v>154</v>
      </c>
      <c r="E40" s="12" t="s">
        <v>155</v>
      </c>
      <c r="F40" s="29" t="s">
        <v>38</v>
      </c>
      <c r="G40" s="11">
        <v>2023</v>
      </c>
      <c r="H40" s="16">
        <v>45016</v>
      </c>
      <c r="I40" s="16">
        <v>45382</v>
      </c>
      <c r="J40" s="11">
        <v>28111</v>
      </c>
      <c r="K40" s="12" t="s">
        <v>156</v>
      </c>
      <c r="L40" s="16">
        <v>45229</v>
      </c>
      <c r="M40" s="12" t="s">
        <v>87</v>
      </c>
      <c r="N40" s="11" t="s">
        <v>41</v>
      </c>
      <c r="O40" s="25">
        <v>2992942000</v>
      </c>
      <c r="P40" s="2">
        <v>5</v>
      </c>
      <c r="Q40" s="25">
        <v>149647100</v>
      </c>
      <c r="R40" s="25">
        <v>123234641.278733</v>
      </c>
      <c r="S40" s="25">
        <v>0</v>
      </c>
      <c r="T40" s="25">
        <v>26361121</v>
      </c>
      <c r="U40" s="25">
        <v>51337.721266999841</v>
      </c>
      <c r="V40" s="18">
        <v>0</v>
      </c>
      <c r="W40" s="13">
        <v>20034453</v>
      </c>
      <c r="X40" s="13">
        <v>0</v>
      </c>
      <c r="Y40" s="13">
        <f t="shared" si="1"/>
        <v>0</v>
      </c>
      <c r="Z40" s="13"/>
      <c r="AA40" s="31"/>
      <c r="AB40" s="27"/>
    </row>
    <row r="41" spans="2:28" s="14" customFormat="1">
      <c r="B41" s="11">
        <v>31</v>
      </c>
      <c r="C41" s="12" t="s">
        <v>157</v>
      </c>
      <c r="D41" s="12" t="s">
        <v>158</v>
      </c>
      <c r="E41" s="12" t="s">
        <v>159</v>
      </c>
      <c r="F41" s="29" t="s">
        <v>38</v>
      </c>
      <c r="G41" s="11">
        <v>2023</v>
      </c>
      <c r="H41" s="16">
        <v>45139</v>
      </c>
      <c r="I41" s="16">
        <v>45505</v>
      </c>
      <c r="J41" s="11">
        <v>23002</v>
      </c>
      <c r="K41" s="12" t="s">
        <v>160</v>
      </c>
      <c r="L41" s="16">
        <v>45365</v>
      </c>
      <c r="M41" s="12" t="s">
        <v>87</v>
      </c>
      <c r="N41" s="11" t="s">
        <v>41</v>
      </c>
      <c r="O41" s="25">
        <v>21887324474</v>
      </c>
      <c r="P41" s="2">
        <v>10</v>
      </c>
      <c r="Q41" s="25">
        <v>2188732447.4000001</v>
      </c>
      <c r="R41" s="25">
        <v>860040910.59956503</v>
      </c>
      <c r="S41" s="25">
        <v>0</v>
      </c>
      <c r="T41" s="25">
        <v>1327258136</v>
      </c>
      <c r="U41" s="25">
        <v>1433400.8004350662</v>
      </c>
      <c r="V41" s="18">
        <v>0</v>
      </c>
      <c r="W41" s="13">
        <v>1008716183</v>
      </c>
      <c r="X41" s="13">
        <v>30617097238</v>
      </c>
      <c r="Y41" s="13">
        <f t="shared" si="1"/>
        <v>23268993900.880001</v>
      </c>
      <c r="Z41" s="13"/>
      <c r="AA41" s="31"/>
      <c r="AB41" s="27"/>
    </row>
    <row r="42" spans="2:28" s="14" customFormat="1">
      <c r="B42" s="11">
        <v>32</v>
      </c>
      <c r="C42" s="12" t="s">
        <v>161</v>
      </c>
      <c r="D42" s="12" t="s">
        <v>162</v>
      </c>
      <c r="E42" s="12" t="s">
        <v>163</v>
      </c>
      <c r="F42" s="29" t="s">
        <v>38</v>
      </c>
      <c r="G42" s="11">
        <v>2023</v>
      </c>
      <c r="H42" s="16">
        <v>45200</v>
      </c>
      <c r="I42" s="16">
        <v>45566</v>
      </c>
      <c r="J42" s="11">
        <v>21121</v>
      </c>
      <c r="K42" s="12" t="s">
        <v>164</v>
      </c>
      <c r="L42" s="16">
        <v>45206</v>
      </c>
      <c r="M42" s="12" t="s">
        <v>87</v>
      </c>
      <c r="N42" s="11" t="s">
        <v>41</v>
      </c>
      <c r="O42" s="25">
        <v>4000000000</v>
      </c>
      <c r="P42" s="2">
        <v>15.75</v>
      </c>
      <c r="Q42" s="25">
        <v>630000000</v>
      </c>
      <c r="R42" s="25">
        <v>15031028.0204372</v>
      </c>
      <c r="S42" s="25">
        <v>0</v>
      </c>
      <c r="T42" s="25">
        <v>214939381</v>
      </c>
      <c r="U42" s="25">
        <v>400029590.97956276</v>
      </c>
      <c r="V42" s="18">
        <v>0</v>
      </c>
      <c r="W42" s="13">
        <v>163353929</v>
      </c>
      <c r="X42" s="13">
        <v>100750000000</v>
      </c>
      <c r="Y42" s="13">
        <f t="shared" si="1"/>
        <v>76570000000</v>
      </c>
      <c r="Z42" s="13"/>
      <c r="AA42" s="31"/>
      <c r="AB42" s="27"/>
    </row>
    <row r="43" spans="2:28" s="14" customFormat="1">
      <c r="B43" s="11">
        <v>33</v>
      </c>
      <c r="C43" s="12" t="s">
        <v>165</v>
      </c>
      <c r="D43" s="12" t="s">
        <v>166</v>
      </c>
      <c r="E43" s="12" t="s">
        <v>167</v>
      </c>
      <c r="F43" s="29" t="s">
        <v>38</v>
      </c>
      <c r="G43" s="11">
        <v>2023</v>
      </c>
      <c r="H43" s="16">
        <v>45260</v>
      </c>
      <c r="I43" s="16">
        <v>45626</v>
      </c>
      <c r="J43" s="11">
        <v>29412</v>
      </c>
      <c r="K43" s="12" t="s">
        <v>168</v>
      </c>
      <c r="L43" s="16">
        <v>45604</v>
      </c>
      <c r="M43" s="12" t="s">
        <v>87</v>
      </c>
      <c r="N43" s="11" t="s">
        <v>41</v>
      </c>
      <c r="O43" s="25">
        <v>230119650</v>
      </c>
      <c r="P43" s="2">
        <v>5</v>
      </c>
      <c r="Q43" s="25">
        <v>11505982.5</v>
      </c>
      <c r="R43" s="25">
        <v>3210076.0252952799</v>
      </c>
      <c r="S43" s="25">
        <v>0</v>
      </c>
      <c r="T43" s="25">
        <v>8293232</v>
      </c>
      <c r="U43" s="25">
        <v>2674.4747047200799</v>
      </c>
      <c r="V43" s="18">
        <v>0</v>
      </c>
      <c r="W43" s="13">
        <v>6302856</v>
      </c>
      <c r="X43" s="13">
        <v>0</v>
      </c>
      <c r="Y43" s="13">
        <f t="shared" si="1"/>
        <v>0</v>
      </c>
      <c r="Z43" s="13"/>
      <c r="AA43" s="31"/>
      <c r="AB43" s="27"/>
    </row>
    <row r="44" spans="2:28" s="14" customFormat="1">
      <c r="B44" s="11">
        <v>34</v>
      </c>
      <c r="C44" s="12" t="s">
        <v>169</v>
      </c>
      <c r="D44" s="12" t="s">
        <v>170</v>
      </c>
      <c r="E44" s="12" t="s">
        <v>171</v>
      </c>
      <c r="F44" s="29" t="s">
        <v>38</v>
      </c>
      <c r="G44" s="11">
        <v>2023</v>
      </c>
      <c r="H44" s="16">
        <v>45230</v>
      </c>
      <c r="I44" s="16">
        <v>45596</v>
      </c>
      <c r="J44" s="11">
        <v>2761</v>
      </c>
      <c r="K44" s="12" t="s">
        <v>172</v>
      </c>
      <c r="L44" s="16">
        <v>45541</v>
      </c>
      <c r="M44" s="12" t="s">
        <v>87</v>
      </c>
      <c r="N44" s="11" t="s">
        <v>41</v>
      </c>
      <c r="O44" s="25">
        <v>38677705.899999999</v>
      </c>
      <c r="P44" s="2">
        <v>10</v>
      </c>
      <c r="Q44" s="25">
        <v>3867770.59</v>
      </c>
      <c r="R44" s="25">
        <v>1123206.2545692299</v>
      </c>
      <c r="S44" s="25">
        <v>0</v>
      </c>
      <c r="T44" s="25">
        <v>2743154</v>
      </c>
      <c r="U44" s="25">
        <v>1410.3354307701811</v>
      </c>
      <c r="V44" s="18">
        <v>0</v>
      </c>
      <c r="W44" s="13">
        <v>2084797</v>
      </c>
      <c r="X44" s="13">
        <v>50000000</v>
      </c>
      <c r="Y44" s="13">
        <f t="shared" si="1"/>
        <v>38000000</v>
      </c>
      <c r="Z44" s="13"/>
      <c r="AA44" s="31"/>
      <c r="AB44" s="27"/>
    </row>
    <row r="45" spans="2:28" s="14" customFormat="1">
      <c r="B45" s="11">
        <v>35</v>
      </c>
      <c r="C45" s="12" t="s">
        <v>173</v>
      </c>
      <c r="D45" s="12" t="s">
        <v>170</v>
      </c>
      <c r="E45" s="12" t="s">
        <v>171</v>
      </c>
      <c r="F45" s="29" t="s">
        <v>38</v>
      </c>
      <c r="G45" s="11">
        <v>2023</v>
      </c>
      <c r="H45" s="16">
        <v>45230</v>
      </c>
      <c r="I45" s="16">
        <v>45596</v>
      </c>
      <c r="J45" s="11">
        <v>2761</v>
      </c>
      <c r="K45" s="12" t="s">
        <v>172</v>
      </c>
      <c r="L45" s="16">
        <v>45476</v>
      </c>
      <c r="M45" s="12" t="s">
        <v>87</v>
      </c>
      <c r="N45" s="11" t="s">
        <v>41</v>
      </c>
      <c r="O45" s="25">
        <v>39525899.75</v>
      </c>
      <c r="P45" s="2">
        <v>10</v>
      </c>
      <c r="Q45" s="25">
        <v>3952589.9750000001</v>
      </c>
      <c r="R45" s="25">
        <v>642706.34143478097</v>
      </c>
      <c r="S45" s="25">
        <v>0</v>
      </c>
      <c r="T45" s="25">
        <v>131614</v>
      </c>
      <c r="U45" s="25">
        <v>3178269.6335652191</v>
      </c>
      <c r="V45" s="18">
        <v>0</v>
      </c>
      <c r="W45" s="13">
        <v>100027</v>
      </c>
      <c r="X45" s="13">
        <v>0</v>
      </c>
      <c r="Y45" s="13">
        <f t="shared" si="1"/>
        <v>0</v>
      </c>
      <c r="Z45" s="13"/>
      <c r="AA45" s="31"/>
      <c r="AB45" s="27"/>
    </row>
    <row r="46" spans="2:28" s="14" customFormat="1">
      <c r="B46" s="11">
        <v>36</v>
      </c>
      <c r="C46" s="12" t="s">
        <v>174</v>
      </c>
      <c r="D46" s="12" t="s">
        <v>170</v>
      </c>
      <c r="E46" s="12" t="s">
        <v>171</v>
      </c>
      <c r="F46" s="29" t="s">
        <v>38</v>
      </c>
      <c r="G46" s="11">
        <v>2023</v>
      </c>
      <c r="H46" s="16">
        <v>45230</v>
      </c>
      <c r="I46" s="16">
        <v>45596</v>
      </c>
      <c r="J46" s="11">
        <v>2761</v>
      </c>
      <c r="K46" s="12" t="s">
        <v>172</v>
      </c>
      <c r="L46" s="16">
        <v>45552</v>
      </c>
      <c r="M46" s="12" t="s">
        <v>87</v>
      </c>
      <c r="N46" s="11" t="s">
        <v>41</v>
      </c>
      <c r="O46" s="25">
        <v>39525899.75</v>
      </c>
      <c r="P46" s="2">
        <v>10</v>
      </c>
      <c r="Q46" s="25">
        <v>3952589.9750000001</v>
      </c>
      <c r="R46" s="25">
        <v>642706.34143478097</v>
      </c>
      <c r="S46" s="25">
        <v>0</v>
      </c>
      <c r="T46" s="25">
        <v>72340</v>
      </c>
      <c r="U46" s="25">
        <v>3237543.6335652191</v>
      </c>
      <c r="V46" s="18">
        <v>0</v>
      </c>
      <c r="W46" s="13">
        <v>54978</v>
      </c>
      <c r="X46" s="13">
        <v>0</v>
      </c>
      <c r="Y46" s="13">
        <f t="shared" si="1"/>
        <v>0</v>
      </c>
      <c r="Z46" s="13"/>
      <c r="AA46" s="31"/>
      <c r="AB46" s="27"/>
    </row>
    <row r="47" spans="2:28" s="14" customFormat="1">
      <c r="B47" s="11">
        <v>37</v>
      </c>
      <c r="C47" s="12" t="s">
        <v>175</v>
      </c>
      <c r="D47" s="12" t="s">
        <v>170</v>
      </c>
      <c r="E47" s="12" t="s">
        <v>171</v>
      </c>
      <c r="F47" s="29" t="s">
        <v>38</v>
      </c>
      <c r="G47" s="11">
        <v>2023</v>
      </c>
      <c r="H47" s="16">
        <v>45230</v>
      </c>
      <c r="I47" s="16">
        <v>45596</v>
      </c>
      <c r="J47" s="11">
        <v>2761</v>
      </c>
      <c r="K47" s="12" t="s">
        <v>172</v>
      </c>
      <c r="L47" s="16">
        <v>45581</v>
      </c>
      <c r="M47" s="12" t="s">
        <v>87</v>
      </c>
      <c r="N47" s="11" t="s">
        <v>41</v>
      </c>
      <c r="O47" s="25">
        <v>39525899.75</v>
      </c>
      <c r="P47" s="2">
        <v>10</v>
      </c>
      <c r="Q47" s="25">
        <v>3952589.9750000001</v>
      </c>
      <c r="R47" s="25">
        <v>642706.34143478097</v>
      </c>
      <c r="S47" s="25">
        <v>0</v>
      </c>
      <c r="T47" s="25">
        <v>3105144</v>
      </c>
      <c r="U47" s="25">
        <v>204739.63356521912</v>
      </c>
      <c r="V47" s="18">
        <v>0</v>
      </c>
      <c r="W47" s="13">
        <v>2359909</v>
      </c>
      <c r="X47" s="13">
        <v>0</v>
      </c>
      <c r="Y47" s="13">
        <f t="shared" si="1"/>
        <v>0</v>
      </c>
      <c r="Z47" s="13"/>
      <c r="AA47" s="31"/>
      <c r="AB47" s="27"/>
    </row>
    <row r="48" spans="2:28" s="14" customFormat="1">
      <c r="B48" s="11">
        <v>38</v>
      </c>
      <c r="C48" s="12" t="s">
        <v>176</v>
      </c>
      <c r="D48" s="12" t="s">
        <v>177</v>
      </c>
      <c r="E48" s="12" t="s">
        <v>178</v>
      </c>
      <c r="F48" s="29" t="s">
        <v>38</v>
      </c>
      <c r="G48" s="11">
        <v>2023</v>
      </c>
      <c r="H48" s="16">
        <v>45277</v>
      </c>
      <c r="I48" s="16">
        <v>45643</v>
      </c>
      <c r="J48" s="11">
        <v>2046</v>
      </c>
      <c r="K48" s="12" t="s">
        <v>179</v>
      </c>
      <c r="L48" s="16">
        <v>45605</v>
      </c>
      <c r="M48" s="12" t="s">
        <v>87</v>
      </c>
      <c r="N48" s="11" t="s">
        <v>41</v>
      </c>
      <c r="O48" s="25">
        <v>3545060959.3999996</v>
      </c>
      <c r="P48" s="2">
        <v>5</v>
      </c>
      <c r="Q48" s="25">
        <v>177253047.97</v>
      </c>
      <c r="R48" s="25">
        <v>118042038.162561</v>
      </c>
      <c r="S48" s="25">
        <v>0</v>
      </c>
      <c r="T48" s="25">
        <v>59112643</v>
      </c>
      <c r="U48" s="25">
        <v>98366.807438999414</v>
      </c>
      <c r="V48" s="18">
        <v>0</v>
      </c>
      <c r="W48" s="13">
        <v>44925608</v>
      </c>
      <c r="X48" s="13">
        <v>0</v>
      </c>
      <c r="Y48" s="13">
        <f t="shared" si="1"/>
        <v>0</v>
      </c>
      <c r="Z48" s="13"/>
      <c r="AA48" s="31"/>
      <c r="AB48" s="27"/>
    </row>
    <row r="49" spans="2:28" s="14" customFormat="1">
      <c r="B49" s="11">
        <v>39</v>
      </c>
      <c r="C49" s="12" t="s">
        <v>180</v>
      </c>
      <c r="D49" s="12" t="s">
        <v>181</v>
      </c>
      <c r="E49" s="12" t="s">
        <v>182</v>
      </c>
      <c r="F49" s="29" t="s">
        <v>38</v>
      </c>
      <c r="G49" s="11">
        <v>2023</v>
      </c>
      <c r="H49" s="16">
        <v>45260</v>
      </c>
      <c r="I49" s="16">
        <v>45626</v>
      </c>
      <c r="J49" s="11">
        <v>2723</v>
      </c>
      <c r="K49" s="12" t="s">
        <v>183</v>
      </c>
      <c r="L49" s="16">
        <v>45447</v>
      </c>
      <c r="M49" s="12" t="s">
        <v>87</v>
      </c>
      <c r="N49" s="11" t="s">
        <v>41</v>
      </c>
      <c r="O49" s="25">
        <v>13594214.399999999</v>
      </c>
      <c r="P49" s="2">
        <v>5</v>
      </c>
      <c r="Q49" s="25">
        <v>679710.71999999997</v>
      </c>
      <c r="R49" s="25">
        <v>43803.0347032379</v>
      </c>
      <c r="S49" s="25">
        <v>0</v>
      </c>
      <c r="T49" s="25">
        <v>635870</v>
      </c>
      <c r="U49" s="25">
        <v>37.68529676203616</v>
      </c>
      <c r="V49" s="18">
        <v>0</v>
      </c>
      <c r="W49" s="13">
        <v>483262</v>
      </c>
      <c r="X49" s="13">
        <v>0</v>
      </c>
      <c r="Y49" s="13">
        <f t="shared" si="1"/>
        <v>0</v>
      </c>
      <c r="Z49" s="13"/>
      <c r="AA49" s="31"/>
      <c r="AB49" s="27"/>
    </row>
    <row r="50" spans="2:28" s="14" customFormat="1">
      <c r="B50" s="11">
        <v>40</v>
      </c>
      <c r="C50" s="12" t="s">
        <v>184</v>
      </c>
      <c r="D50" s="12" t="s">
        <v>185</v>
      </c>
      <c r="E50" s="12" t="s">
        <v>186</v>
      </c>
      <c r="F50" s="29" t="s">
        <v>38</v>
      </c>
      <c r="G50" s="11">
        <v>2023</v>
      </c>
      <c r="H50" s="16">
        <v>45291</v>
      </c>
      <c r="I50" s="16">
        <v>45657</v>
      </c>
      <c r="J50" s="11">
        <v>2971</v>
      </c>
      <c r="K50" s="12" t="s">
        <v>187</v>
      </c>
      <c r="L50" s="16">
        <v>45565</v>
      </c>
      <c r="M50" s="12" t="s">
        <v>87</v>
      </c>
      <c r="N50" s="11" t="s">
        <v>41</v>
      </c>
      <c r="O50" s="25">
        <v>252162505</v>
      </c>
      <c r="P50" s="2">
        <v>5</v>
      </c>
      <c r="Q50" s="25">
        <v>12608125.25</v>
      </c>
      <c r="R50" s="25">
        <v>11795561.1271348</v>
      </c>
      <c r="S50" s="25">
        <v>0</v>
      </c>
      <c r="T50" s="25">
        <v>30190</v>
      </c>
      <c r="U50" s="25">
        <v>782374.12286520004</v>
      </c>
      <c r="V50" s="18">
        <v>0</v>
      </c>
      <c r="W50" s="13">
        <v>22944</v>
      </c>
      <c r="X50" s="13">
        <v>0</v>
      </c>
      <c r="Y50" s="13">
        <f t="shared" si="1"/>
        <v>0</v>
      </c>
      <c r="Z50" s="13"/>
      <c r="AA50" s="31"/>
      <c r="AB50" s="27"/>
    </row>
    <row r="51" spans="2:28" s="14" customFormat="1">
      <c r="B51" s="11">
        <v>41</v>
      </c>
      <c r="C51" s="12" t="s">
        <v>188</v>
      </c>
      <c r="D51" s="12" t="s">
        <v>185</v>
      </c>
      <c r="E51" s="12" t="s">
        <v>186</v>
      </c>
      <c r="F51" s="29" t="s">
        <v>38</v>
      </c>
      <c r="G51" s="11">
        <v>2023</v>
      </c>
      <c r="H51" s="16">
        <v>45291</v>
      </c>
      <c r="I51" s="16">
        <v>45657</v>
      </c>
      <c r="J51" s="11">
        <v>2971</v>
      </c>
      <c r="K51" s="12" t="s">
        <v>187</v>
      </c>
      <c r="L51" s="16">
        <v>45540</v>
      </c>
      <c r="M51" s="12" t="s">
        <v>87</v>
      </c>
      <c r="N51" s="11" t="s">
        <v>41</v>
      </c>
      <c r="O51" s="25">
        <v>252162505</v>
      </c>
      <c r="P51" s="2">
        <v>5</v>
      </c>
      <c r="Q51" s="25">
        <v>12608125.25</v>
      </c>
      <c r="R51" s="25">
        <v>11795561.1271348</v>
      </c>
      <c r="S51" s="25">
        <v>0</v>
      </c>
      <c r="T51" s="25">
        <v>24947</v>
      </c>
      <c r="U51" s="25">
        <v>787617.12286520004</v>
      </c>
      <c r="V51" s="18">
        <v>0</v>
      </c>
      <c r="W51" s="13">
        <v>18960</v>
      </c>
      <c r="X51" s="13">
        <v>0</v>
      </c>
      <c r="Y51" s="13">
        <f t="shared" si="1"/>
        <v>0</v>
      </c>
      <c r="Z51" s="13"/>
      <c r="AA51" s="31"/>
      <c r="AB51" s="27"/>
    </row>
    <row r="52" spans="2:28" s="14" customFormat="1">
      <c r="B52" s="11">
        <v>42</v>
      </c>
      <c r="C52" s="12" t="s">
        <v>189</v>
      </c>
      <c r="D52" s="12" t="s">
        <v>185</v>
      </c>
      <c r="E52" s="12" t="s">
        <v>186</v>
      </c>
      <c r="F52" s="29" t="s">
        <v>38</v>
      </c>
      <c r="G52" s="11">
        <v>2023</v>
      </c>
      <c r="H52" s="16">
        <v>45291</v>
      </c>
      <c r="I52" s="16">
        <v>45657</v>
      </c>
      <c r="J52" s="11">
        <v>2971</v>
      </c>
      <c r="K52" s="12" t="s">
        <v>187</v>
      </c>
      <c r="L52" s="16">
        <v>45532</v>
      </c>
      <c r="M52" s="12" t="s">
        <v>87</v>
      </c>
      <c r="N52" s="11" t="s">
        <v>41</v>
      </c>
      <c r="O52" s="25">
        <v>252162505</v>
      </c>
      <c r="P52" s="2">
        <v>5</v>
      </c>
      <c r="Q52" s="25">
        <v>12608125.25</v>
      </c>
      <c r="R52" s="25">
        <v>11795561.1271348</v>
      </c>
      <c r="S52" s="25">
        <v>0</v>
      </c>
      <c r="T52" s="25">
        <v>38005</v>
      </c>
      <c r="U52" s="25">
        <v>774559.12286520004</v>
      </c>
      <c r="V52" s="18">
        <v>0</v>
      </c>
      <c r="W52" s="13">
        <v>28884</v>
      </c>
      <c r="X52" s="13">
        <v>0</v>
      </c>
      <c r="Y52" s="13">
        <f t="shared" si="1"/>
        <v>0</v>
      </c>
      <c r="Z52" s="13"/>
      <c r="AA52" s="31"/>
      <c r="AB52" s="27"/>
    </row>
    <row r="53" spans="2:28" s="14" customFormat="1">
      <c r="B53" s="11">
        <v>43</v>
      </c>
      <c r="C53" s="12" t="s">
        <v>190</v>
      </c>
      <c r="D53" s="12" t="s">
        <v>185</v>
      </c>
      <c r="E53" s="12" t="s">
        <v>186</v>
      </c>
      <c r="F53" s="29" t="s">
        <v>38</v>
      </c>
      <c r="G53" s="11">
        <v>2023</v>
      </c>
      <c r="H53" s="16">
        <v>45291</v>
      </c>
      <c r="I53" s="16">
        <v>45657</v>
      </c>
      <c r="J53" s="11">
        <v>2971</v>
      </c>
      <c r="K53" s="12" t="s">
        <v>187</v>
      </c>
      <c r="L53" s="16">
        <v>45537</v>
      </c>
      <c r="M53" s="12" t="s">
        <v>87</v>
      </c>
      <c r="N53" s="11" t="s">
        <v>41</v>
      </c>
      <c r="O53" s="25">
        <v>252162505</v>
      </c>
      <c r="P53" s="2">
        <v>5</v>
      </c>
      <c r="Q53" s="25">
        <v>12608125.25</v>
      </c>
      <c r="R53" s="25">
        <v>11795561.1271348</v>
      </c>
      <c r="S53" s="25">
        <v>0</v>
      </c>
      <c r="T53" s="25">
        <v>43208</v>
      </c>
      <c r="U53" s="25">
        <v>769356.12286520004</v>
      </c>
      <c r="V53" s="18">
        <v>0</v>
      </c>
      <c r="W53" s="13">
        <v>32838</v>
      </c>
      <c r="X53" s="13">
        <v>0</v>
      </c>
      <c r="Y53" s="13">
        <f t="shared" si="1"/>
        <v>0</v>
      </c>
      <c r="Z53" s="13"/>
      <c r="AA53" s="31"/>
      <c r="AB53" s="27"/>
    </row>
    <row r="54" spans="2:28" s="14" customFormat="1">
      <c r="B54" s="11">
        <v>44</v>
      </c>
      <c r="C54" s="12" t="s">
        <v>191</v>
      </c>
      <c r="D54" s="12" t="s">
        <v>185</v>
      </c>
      <c r="E54" s="12" t="s">
        <v>186</v>
      </c>
      <c r="F54" s="29" t="s">
        <v>38</v>
      </c>
      <c r="G54" s="11">
        <v>2023</v>
      </c>
      <c r="H54" s="16">
        <v>45291</v>
      </c>
      <c r="I54" s="16">
        <v>45657</v>
      </c>
      <c r="J54" s="11">
        <v>2971</v>
      </c>
      <c r="K54" s="12" t="s">
        <v>187</v>
      </c>
      <c r="L54" s="16">
        <v>45554</v>
      </c>
      <c r="M54" s="12" t="s">
        <v>87</v>
      </c>
      <c r="N54" s="11" t="s">
        <v>41</v>
      </c>
      <c r="O54" s="25">
        <v>252162505</v>
      </c>
      <c r="P54" s="2">
        <v>5</v>
      </c>
      <c r="Q54" s="25">
        <v>12608125.25</v>
      </c>
      <c r="R54" s="25">
        <v>11795561.1271348</v>
      </c>
      <c r="S54" s="25">
        <v>0</v>
      </c>
      <c r="T54" s="25">
        <v>22452</v>
      </c>
      <c r="U54" s="25">
        <v>790112.12286520004</v>
      </c>
      <c r="V54" s="18">
        <v>0</v>
      </c>
      <c r="W54" s="13">
        <v>17064</v>
      </c>
      <c r="X54" s="13">
        <v>0</v>
      </c>
      <c r="Y54" s="13">
        <f t="shared" si="1"/>
        <v>0</v>
      </c>
      <c r="Z54" s="13"/>
      <c r="AA54" s="31"/>
      <c r="AB54" s="27"/>
    </row>
    <row r="55" spans="2:28" s="14" customFormat="1">
      <c r="B55" s="11">
        <v>45</v>
      </c>
      <c r="C55" s="12" t="s">
        <v>192</v>
      </c>
      <c r="D55" s="12" t="s">
        <v>185</v>
      </c>
      <c r="E55" s="12" t="s">
        <v>186</v>
      </c>
      <c r="F55" s="29" t="s">
        <v>38</v>
      </c>
      <c r="G55" s="11">
        <v>2023</v>
      </c>
      <c r="H55" s="16">
        <v>45291</v>
      </c>
      <c r="I55" s="16">
        <v>45657</v>
      </c>
      <c r="J55" s="11">
        <v>2971</v>
      </c>
      <c r="K55" s="12" t="s">
        <v>187</v>
      </c>
      <c r="L55" s="16">
        <v>45514</v>
      </c>
      <c r="M55" s="12" t="s">
        <v>87</v>
      </c>
      <c r="N55" s="11" t="s">
        <v>41</v>
      </c>
      <c r="O55" s="25">
        <v>252162505</v>
      </c>
      <c r="P55" s="2">
        <v>5</v>
      </c>
      <c r="Q55" s="25">
        <v>12608125.25</v>
      </c>
      <c r="R55" s="25">
        <v>11795561.1271348</v>
      </c>
      <c r="S55" s="25">
        <v>0</v>
      </c>
      <c r="T55" s="25">
        <v>25686</v>
      </c>
      <c r="U55" s="25">
        <v>786878.12286520004</v>
      </c>
      <c r="V55" s="18">
        <v>0</v>
      </c>
      <c r="W55" s="13">
        <v>19521</v>
      </c>
      <c r="X55" s="13">
        <v>0</v>
      </c>
      <c r="Y55" s="13">
        <f t="shared" si="1"/>
        <v>0</v>
      </c>
      <c r="Z55" s="13"/>
      <c r="AA55" s="31"/>
      <c r="AB55" s="27"/>
    </row>
    <row r="56" spans="2:28" s="14" customFormat="1">
      <c r="B56" s="11">
        <v>46</v>
      </c>
      <c r="C56" s="12" t="s">
        <v>193</v>
      </c>
      <c r="D56" s="12" t="s">
        <v>185</v>
      </c>
      <c r="E56" s="12" t="s">
        <v>186</v>
      </c>
      <c r="F56" s="29" t="s">
        <v>38</v>
      </c>
      <c r="G56" s="11">
        <v>2023</v>
      </c>
      <c r="H56" s="16">
        <v>45291</v>
      </c>
      <c r="I56" s="16">
        <v>45657</v>
      </c>
      <c r="J56" s="11">
        <v>2971</v>
      </c>
      <c r="K56" s="12" t="s">
        <v>187</v>
      </c>
      <c r="L56" s="16">
        <v>45626</v>
      </c>
      <c r="M56" s="12" t="s">
        <v>87</v>
      </c>
      <c r="N56" s="11" t="s">
        <v>41</v>
      </c>
      <c r="O56" s="25">
        <v>252162505</v>
      </c>
      <c r="P56" s="2">
        <v>5</v>
      </c>
      <c r="Q56" s="25">
        <v>12608125.25</v>
      </c>
      <c r="R56" s="25">
        <v>11795561.1271348</v>
      </c>
      <c r="S56" s="25">
        <v>0</v>
      </c>
      <c r="T56" s="25">
        <v>19601</v>
      </c>
      <c r="U56" s="25">
        <v>792963.12286520004</v>
      </c>
      <c r="V56" s="18">
        <v>0</v>
      </c>
      <c r="W56" s="13">
        <v>14897</v>
      </c>
      <c r="X56" s="13">
        <v>0</v>
      </c>
      <c r="Y56" s="13">
        <f t="shared" si="1"/>
        <v>0</v>
      </c>
      <c r="Z56" s="13"/>
      <c r="AA56" s="31"/>
      <c r="AB56" s="27"/>
    </row>
    <row r="57" spans="2:28" s="14" customFormat="1">
      <c r="B57" s="11">
        <v>47</v>
      </c>
      <c r="C57" s="12" t="s">
        <v>194</v>
      </c>
      <c r="D57" s="12" t="s">
        <v>185</v>
      </c>
      <c r="E57" s="12" t="s">
        <v>186</v>
      </c>
      <c r="F57" s="29" t="s">
        <v>38</v>
      </c>
      <c r="G57" s="11">
        <v>2023</v>
      </c>
      <c r="H57" s="16">
        <v>45291</v>
      </c>
      <c r="I57" s="16">
        <v>45657</v>
      </c>
      <c r="J57" s="11">
        <v>2971</v>
      </c>
      <c r="K57" s="12" t="s">
        <v>187</v>
      </c>
      <c r="L57" s="16">
        <v>45481</v>
      </c>
      <c r="M57" s="12" t="s">
        <v>87</v>
      </c>
      <c r="N57" s="11" t="s">
        <v>41</v>
      </c>
      <c r="O57" s="25">
        <v>252162505</v>
      </c>
      <c r="P57" s="2">
        <v>5</v>
      </c>
      <c r="Q57" s="25">
        <v>12608125.25</v>
      </c>
      <c r="R57" s="25">
        <v>11795561.1271348</v>
      </c>
      <c r="S57" s="25">
        <v>0</v>
      </c>
      <c r="T57" s="25">
        <v>88013</v>
      </c>
      <c r="U57" s="25">
        <v>724551.12286520004</v>
      </c>
      <c r="V57" s="18">
        <v>0</v>
      </c>
      <c r="W57" s="13">
        <v>66890</v>
      </c>
      <c r="X57" s="13">
        <v>0</v>
      </c>
      <c r="Y57" s="13">
        <f t="shared" si="1"/>
        <v>0</v>
      </c>
      <c r="Z57" s="13"/>
      <c r="AA57" s="31"/>
      <c r="AB57" s="27"/>
    </row>
    <row r="58" spans="2:28" s="14" customFormat="1">
      <c r="B58" s="11">
        <v>48</v>
      </c>
      <c r="C58" s="12" t="s">
        <v>195</v>
      </c>
      <c r="D58" s="12" t="s">
        <v>185</v>
      </c>
      <c r="E58" s="12" t="s">
        <v>186</v>
      </c>
      <c r="F58" s="29" t="s">
        <v>38</v>
      </c>
      <c r="G58" s="11">
        <v>2023</v>
      </c>
      <c r="H58" s="16">
        <v>45291</v>
      </c>
      <c r="I58" s="16">
        <v>45657</v>
      </c>
      <c r="J58" s="11">
        <v>2971</v>
      </c>
      <c r="K58" s="12" t="s">
        <v>187</v>
      </c>
      <c r="L58" s="16">
        <v>45445</v>
      </c>
      <c r="M58" s="12" t="s">
        <v>87</v>
      </c>
      <c r="N58" s="11" t="s">
        <v>41</v>
      </c>
      <c r="O58" s="25">
        <v>252162505</v>
      </c>
      <c r="P58" s="2">
        <v>5</v>
      </c>
      <c r="Q58" s="25">
        <v>12608125.25</v>
      </c>
      <c r="R58" s="25">
        <v>11795561.1271348</v>
      </c>
      <c r="S58" s="25">
        <v>0</v>
      </c>
      <c r="T58" s="25">
        <v>425113</v>
      </c>
      <c r="U58" s="25">
        <v>387451.12286520004</v>
      </c>
      <c r="V58" s="18">
        <v>0</v>
      </c>
      <c r="W58" s="13">
        <v>323086</v>
      </c>
      <c r="X58" s="13">
        <v>0</v>
      </c>
      <c r="Y58" s="13">
        <f t="shared" si="1"/>
        <v>0</v>
      </c>
      <c r="Z58" s="13"/>
      <c r="AA58" s="31"/>
      <c r="AB58" s="27"/>
    </row>
    <row r="59" spans="2:28" s="14" customFormat="1">
      <c r="B59" s="11">
        <v>49</v>
      </c>
      <c r="C59" s="12" t="s">
        <v>196</v>
      </c>
      <c r="D59" s="12" t="s">
        <v>185</v>
      </c>
      <c r="E59" s="12" t="s">
        <v>186</v>
      </c>
      <c r="F59" s="29" t="s">
        <v>38</v>
      </c>
      <c r="G59" s="11">
        <v>2023</v>
      </c>
      <c r="H59" s="16">
        <v>45291</v>
      </c>
      <c r="I59" s="16">
        <v>45657</v>
      </c>
      <c r="J59" s="11">
        <v>2971</v>
      </c>
      <c r="K59" s="12" t="s">
        <v>187</v>
      </c>
      <c r="L59" s="16">
        <v>45575</v>
      </c>
      <c r="M59" s="12" t="s">
        <v>87</v>
      </c>
      <c r="N59" s="11" t="s">
        <v>41</v>
      </c>
      <c r="O59" s="25">
        <v>252162505</v>
      </c>
      <c r="P59" s="2">
        <v>5</v>
      </c>
      <c r="Q59" s="25">
        <v>12608125.25</v>
      </c>
      <c r="R59" s="25">
        <v>11795561.1271348</v>
      </c>
      <c r="S59" s="25">
        <v>0</v>
      </c>
      <c r="T59" s="25">
        <v>26649</v>
      </c>
      <c r="U59" s="25">
        <v>785915.12286520004</v>
      </c>
      <c r="V59" s="18">
        <v>0</v>
      </c>
      <c r="W59" s="13">
        <v>20253</v>
      </c>
      <c r="X59" s="13">
        <v>0</v>
      </c>
      <c r="Y59" s="13">
        <f t="shared" si="1"/>
        <v>0</v>
      </c>
      <c r="Z59" s="13"/>
      <c r="AA59" s="31"/>
      <c r="AB59" s="27"/>
    </row>
    <row r="60" spans="2:28" s="14" customFormat="1">
      <c r="B60" s="11">
        <v>50</v>
      </c>
      <c r="C60" s="12" t="s">
        <v>197</v>
      </c>
      <c r="D60" s="12" t="s">
        <v>185</v>
      </c>
      <c r="E60" s="12" t="s">
        <v>186</v>
      </c>
      <c r="F60" s="29" t="s">
        <v>38</v>
      </c>
      <c r="G60" s="11">
        <v>2023</v>
      </c>
      <c r="H60" s="16">
        <v>45291</v>
      </c>
      <c r="I60" s="16">
        <v>45657</v>
      </c>
      <c r="J60" s="11">
        <v>2971</v>
      </c>
      <c r="K60" s="12" t="s">
        <v>187</v>
      </c>
      <c r="L60" s="16">
        <v>45607</v>
      </c>
      <c r="M60" s="12" t="s">
        <v>87</v>
      </c>
      <c r="N60" s="11" t="s">
        <v>41</v>
      </c>
      <c r="O60" s="25">
        <v>252162505</v>
      </c>
      <c r="P60" s="2">
        <v>5</v>
      </c>
      <c r="Q60" s="25">
        <v>12608125.25</v>
      </c>
      <c r="R60" s="25">
        <v>11795561.1271348</v>
      </c>
      <c r="S60" s="25">
        <v>0</v>
      </c>
      <c r="T60" s="25">
        <v>65751</v>
      </c>
      <c r="U60" s="25">
        <v>746813.12286520004</v>
      </c>
      <c r="V60" s="18">
        <v>0</v>
      </c>
      <c r="W60" s="13">
        <v>49971</v>
      </c>
      <c r="X60" s="13">
        <v>0</v>
      </c>
      <c r="Y60" s="13">
        <f t="shared" si="1"/>
        <v>0</v>
      </c>
      <c r="Z60" s="13"/>
      <c r="AA60" s="31"/>
      <c r="AB60" s="27"/>
    </row>
    <row r="61" spans="2:28" s="14" customFormat="1">
      <c r="B61" s="11">
        <v>51</v>
      </c>
      <c r="C61" s="12" t="s">
        <v>198</v>
      </c>
      <c r="D61" s="12" t="s">
        <v>199</v>
      </c>
      <c r="E61" s="12" t="s">
        <v>200</v>
      </c>
      <c r="F61" s="29" t="s">
        <v>38</v>
      </c>
      <c r="G61" s="11">
        <v>2023</v>
      </c>
      <c r="H61" s="16">
        <v>45078</v>
      </c>
      <c r="I61" s="16">
        <v>45444</v>
      </c>
      <c r="J61" s="11" t="s">
        <v>99</v>
      </c>
      <c r="K61" s="12" t="s">
        <v>201</v>
      </c>
      <c r="L61" s="16">
        <v>45409</v>
      </c>
      <c r="M61" s="12" t="s">
        <v>87</v>
      </c>
      <c r="N61" s="11" t="s">
        <v>41</v>
      </c>
      <c r="O61" s="25">
        <v>69219405.999999985</v>
      </c>
      <c r="P61" s="2">
        <v>10</v>
      </c>
      <c r="Q61" s="25">
        <v>6921940.5999999996</v>
      </c>
      <c r="R61" s="25">
        <v>2045893.7733990201</v>
      </c>
      <c r="S61" s="25">
        <v>0</v>
      </c>
      <c r="T61" s="25">
        <v>4190671</v>
      </c>
      <c r="U61" s="25">
        <v>685375.82660098001</v>
      </c>
      <c r="V61" s="18">
        <v>0</v>
      </c>
      <c r="W61" s="13">
        <v>3184911</v>
      </c>
      <c r="X61" s="13">
        <v>0</v>
      </c>
      <c r="Y61" s="13">
        <f t="shared" si="1"/>
        <v>0</v>
      </c>
      <c r="Z61" s="13"/>
      <c r="AA61" s="31"/>
      <c r="AB61" s="27"/>
    </row>
    <row r="62" spans="2:28" s="14" customFormat="1">
      <c r="B62" s="11">
        <v>52</v>
      </c>
      <c r="C62" s="12" t="s">
        <v>202</v>
      </c>
      <c r="D62" s="12" t="s">
        <v>203</v>
      </c>
      <c r="E62" s="12" t="s">
        <v>204</v>
      </c>
      <c r="F62" s="29" t="s">
        <v>38</v>
      </c>
      <c r="G62" s="11">
        <v>2023</v>
      </c>
      <c r="H62" s="16">
        <v>45078</v>
      </c>
      <c r="I62" s="16">
        <v>45444</v>
      </c>
      <c r="J62" s="11">
        <v>2975</v>
      </c>
      <c r="K62" s="12" t="s">
        <v>205</v>
      </c>
      <c r="L62" s="16">
        <v>45409</v>
      </c>
      <c r="M62" s="12" t="s">
        <v>87</v>
      </c>
      <c r="N62" s="11" t="s">
        <v>41</v>
      </c>
      <c r="O62" s="25">
        <v>16550100</v>
      </c>
      <c r="P62" s="2">
        <v>10</v>
      </c>
      <c r="Q62" s="25">
        <v>1655010</v>
      </c>
      <c r="R62" s="25">
        <v>413752.41380158102</v>
      </c>
      <c r="S62" s="25">
        <v>0</v>
      </c>
      <c r="T62" s="25">
        <v>1102650</v>
      </c>
      <c r="U62" s="25">
        <v>138607.58619841887</v>
      </c>
      <c r="V62" s="18">
        <v>0</v>
      </c>
      <c r="W62" s="13">
        <v>838014</v>
      </c>
      <c r="X62" s="13">
        <v>0</v>
      </c>
      <c r="Y62" s="13">
        <f t="shared" si="1"/>
        <v>0</v>
      </c>
      <c r="Z62" s="13"/>
      <c r="AA62" s="31"/>
      <c r="AB62" s="27"/>
    </row>
    <row r="63" spans="2:28" s="14" customFormat="1">
      <c r="B63" s="11">
        <v>53</v>
      </c>
      <c r="C63" s="12" t="s">
        <v>206</v>
      </c>
      <c r="D63" s="12" t="s">
        <v>207</v>
      </c>
      <c r="E63" s="12" t="s">
        <v>208</v>
      </c>
      <c r="F63" s="29" t="s">
        <v>38</v>
      </c>
      <c r="G63" s="11">
        <v>2023</v>
      </c>
      <c r="H63" s="16">
        <v>45291</v>
      </c>
      <c r="I63" s="16">
        <v>45657</v>
      </c>
      <c r="J63" s="11">
        <v>2975</v>
      </c>
      <c r="K63" s="12" t="s">
        <v>205</v>
      </c>
      <c r="L63" s="16">
        <v>45409</v>
      </c>
      <c r="M63" s="12" t="s">
        <v>87</v>
      </c>
      <c r="N63" s="11" t="s">
        <v>41</v>
      </c>
      <c r="O63" s="25">
        <v>198221698</v>
      </c>
      <c r="P63" s="2">
        <v>10</v>
      </c>
      <c r="Q63" s="25">
        <v>19822169.800000001</v>
      </c>
      <c r="R63" s="25">
        <v>2101290.0848056902</v>
      </c>
      <c r="S63" s="25">
        <v>0</v>
      </c>
      <c r="T63" s="25">
        <v>17016948</v>
      </c>
      <c r="U63" s="25">
        <v>703931.71519431099</v>
      </c>
      <c r="V63" s="18">
        <v>0</v>
      </c>
      <c r="W63" s="13">
        <v>12932880</v>
      </c>
      <c r="X63" s="13">
        <v>0</v>
      </c>
      <c r="Y63" s="13">
        <f t="shared" si="1"/>
        <v>0</v>
      </c>
      <c r="Z63" s="13"/>
      <c r="AA63" s="31"/>
      <c r="AB63" s="27"/>
    </row>
    <row r="64" spans="2:28" s="14" customFormat="1">
      <c r="B64" s="11">
        <v>54</v>
      </c>
      <c r="C64" s="12" t="s">
        <v>209</v>
      </c>
      <c r="D64" s="12" t="s">
        <v>210</v>
      </c>
      <c r="E64" s="12" t="s">
        <v>211</v>
      </c>
      <c r="F64" s="29" t="s">
        <v>38</v>
      </c>
      <c r="G64" s="11">
        <v>2023</v>
      </c>
      <c r="H64" s="16">
        <v>45291</v>
      </c>
      <c r="I64" s="16">
        <v>45657</v>
      </c>
      <c r="J64" s="11">
        <v>2975</v>
      </c>
      <c r="K64" s="12" t="s">
        <v>205</v>
      </c>
      <c r="L64" s="16">
        <v>45409</v>
      </c>
      <c r="M64" s="12" t="s">
        <v>87</v>
      </c>
      <c r="N64" s="11" t="s">
        <v>41</v>
      </c>
      <c r="O64" s="25">
        <v>630985185</v>
      </c>
      <c r="P64" s="2">
        <v>10</v>
      </c>
      <c r="Q64" s="25">
        <v>63098518.5</v>
      </c>
      <c r="R64" s="25">
        <v>36056296.285714298</v>
      </c>
      <c r="S64" s="25">
        <v>0</v>
      </c>
      <c r="T64" s="25">
        <v>20672277</v>
      </c>
      <c r="U64" s="25">
        <v>6369945.2142857015</v>
      </c>
      <c r="V64" s="18">
        <v>0</v>
      </c>
      <c r="W64" s="13">
        <v>15710930</v>
      </c>
      <c r="X64" s="13">
        <v>818841285</v>
      </c>
      <c r="Y64" s="13">
        <f t="shared" si="1"/>
        <v>622319376.60000002</v>
      </c>
      <c r="Z64" s="13"/>
      <c r="AA64" s="31"/>
      <c r="AB64" s="27"/>
    </row>
    <row r="65" spans="2:28" s="14" customFormat="1">
      <c r="B65" s="11">
        <v>55</v>
      </c>
      <c r="C65" s="12" t="s">
        <v>212</v>
      </c>
      <c r="D65" s="12" t="s">
        <v>213</v>
      </c>
      <c r="E65" s="12" t="s">
        <v>214</v>
      </c>
      <c r="F65" s="29" t="s">
        <v>38</v>
      </c>
      <c r="G65" s="11">
        <v>2023</v>
      </c>
      <c r="H65" s="16">
        <v>45291</v>
      </c>
      <c r="I65" s="16">
        <v>45657</v>
      </c>
      <c r="J65" s="11">
        <v>2975</v>
      </c>
      <c r="K65" s="12" t="s">
        <v>205</v>
      </c>
      <c r="L65" s="16">
        <v>45409</v>
      </c>
      <c r="M65" s="12" t="s">
        <v>87</v>
      </c>
      <c r="N65" s="11" t="s">
        <v>41</v>
      </c>
      <c r="O65" s="25">
        <v>1098926554</v>
      </c>
      <c r="P65" s="2">
        <v>10</v>
      </c>
      <c r="Q65" s="25">
        <v>109892655.40000001</v>
      </c>
      <c r="R65" s="25">
        <v>62795803.0857144</v>
      </c>
      <c r="S65" s="25">
        <v>0</v>
      </c>
      <c r="T65" s="25">
        <v>36002928</v>
      </c>
      <c r="U65" s="25">
        <v>11093924.314285606</v>
      </c>
      <c r="V65" s="18">
        <v>0</v>
      </c>
      <c r="W65" s="13">
        <v>27362225</v>
      </c>
      <c r="X65" s="13">
        <v>1732512806</v>
      </c>
      <c r="Y65" s="13">
        <f t="shared" si="1"/>
        <v>1316709732.5599999</v>
      </c>
      <c r="Z65" s="13"/>
      <c r="AA65" s="31"/>
      <c r="AB65" s="27"/>
    </row>
    <row r="66" spans="2:28" s="14" customFormat="1">
      <c r="B66" s="11">
        <v>56</v>
      </c>
      <c r="C66" s="12" t="s">
        <v>215</v>
      </c>
      <c r="D66" s="12" t="s">
        <v>216</v>
      </c>
      <c r="E66" s="12" t="s">
        <v>217</v>
      </c>
      <c r="F66" s="29" t="s">
        <v>38</v>
      </c>
      <c r="G66" s="11">
        <v>2023</v>
      </c>
      <c r="H66" s="16">
        <v>45016</v>
      </c>
      <c r="I66" s="16">
        <v>45382</v>
      </c>
      <c r="J66" s="11">
        <v>28111</v>
      </c>
      <c r="K66" s="12" t="s">
        <v>218</v>
      </c>
      <c r="L66" s="16">
        <v>45030</v>
      </c>
      <c r="M66" s="12" t="s">
        <v>87</v>
      </c>
      <c r="N66" s="11" t="s">
        <v>41</v>
      </c>
      <c r="O66" s="25">
        <v>-5000000</v>
      </c>
      <c r="P66" s="2">
        <v>5</v>
      </c>
      <c r="Q66" s="25">
        <v>-250000</v>
      </c>
      <c r="R66" s="25">
        <v>-17369.7270471468</v>
      </c>
      <c r="S66" s="25">
        <v>0</v>
      </c>
      <c r="T66" s="25">
        <v>-232609</v>
      </c>
      <c r="U66" s="25">
        <v>-21.272952853207244</v>
      </c>
      <c r="V66" s="18">
        <v>0</v>
      </c>
      <c r="W66" s="13">
        <v>-176783</v>
      </c>
      <c r="X66" s="13">
        <v>-5000000</v>
      </c>
      <c r="Y66" s="13">
        <f t="shared" si="1"/>
        <v>-3800000</v>
      </c>
      <c r="Z66" s="13"/>
      <c r="AA66" s="31"/>
      <c r="AB66" s="27"/>
    </row>
    <row r="67" spans="2:28" s="14" customFormat="1">
      <c r="B67" s="11">
        <v>57</v>
      </c>
      <c r="C67" s="12" t="s">
        <v>219</v>
      </c>
      <c r="D67" s="12" t="s">
        <v>220</v>
      </c>
      <c r="E67" s="12" t="s">
        <v>221</v>
      </c>
      <c r="F67" s="29" t="s">
        <v>38</v>
      </c>
      <c r="G67" s="11">
        <v>2023</v>
      </c>
      <c r="H67" s="16">
        <v>45046</v>
      </c>
      <c r="I67" s="16">
        <v>45412</v>
      </c>
      <c r="J67" s="11">
        <v>2071</v>
      </c>
      <c r="K67" s="12" t="s">
        <v>222</v>
      </c>
      <c r="L67" s="16">
        <v>45059</v>
      </c>
      <c r="M67" s="12" t="s">
        <v>87</v>
      </c>
      <c r="N67" s="11" t="s">
        <v>41</v>
      </c>
      <c r="O67" s="25">
        <v>3611068786.9999995</v>
      </c>
      <c r="P67" s="2">
        <v>10</v>
      </c>
      <c r="Q67" s="25">
        <v>361106878.69999999</v>
      </c>
      <c r="R67" s="25">
        <v>250548605.343638</v>
      </c>
      <c r="S67" s="25">
        <v>0</v>
      </c>
      <c r="T67" s="25">
        <v>110140693</v>
      </c>
      <c r="U67" s="25">
        <v>417580.35636198521</v>
      </c>
      <c r="V67" s="18">
        <v>0</v>
      </c>
      <c r="W67" s="13">
        <v>83706927</v>
      </c>
      <c r="X67" s="13">
        <v>0</v>
      </c>
      <c r="Y67" s="13">
        <f t="shared" si="1"/>
        <v>0</v>
      </c>
      <c r="Z67" s="13"/>
      <c r="AA67" s="31"/>
      <c r="AB67" s="27"/>
    </row>
    <row r="68" spans="2:28" s="14" customFormat="1">
      <c r="B68" s="11">
        <v>58</v>
      </c>
      <c r="C68" s="12" t="s">
        <v>223</v>
      </c>
      <c r="D68" s="12" t="s">
        <v>224</v>
      </c>
      <c r="E68" s="12" t="s">
        <v>225</v>
      </c>
      <c r="F68" s="29" t="s">
        <v>38</v>
      </c>
      <c r="G68" s="11">
        <v>2023</v>
      </c>
      <c r="H68" s="16">
        <v>45138</v>
      </c>
      <c r="I68" s="16">
        <v>45504</v>
      </c>
      <c r="J68" s="11">
        <v>2734</v>
      </c>
      <c r="K68" s="12" t="s">
        <v>226</v>
      </c>
      <c r="L68" s="16">
        <v>45383</v>
      </c>
      <c r="M68" s="12" t="s">
        <v>87</v>
      </c>
      <c r="N68" s="11" t="s">
        <v>41</v>
      </c>
      <c r="O68" s="25">
        <v>152419730</v>
      </c>
      <c r="P68" s="2">
        <v>10</v>
      </c>
      <c r="Q68" s="25">
        <v>15241973</v>
      </c>
      <c r="R68" s="25">
        <v>6700580.8444641298</v>
      </c>
      <c r="S68" s="25">
        <v>0</v>
      </c>
      <c r="T68" s="25">
        <v>8530224</v>
      </c>
      <c r="U68" s="25">
        <v>11168.1555358693</v>
      </c>
      <c r="V68" s="18">
        <v>0</v>
      </c>
      <c r="W68" s="13">
        <v>6482971</v>
      </c>
      <c r="X68" s="13">
        <v>0</v>
      </c>
      <c r="Y68" s="13">
        <f t="shared" si="1"/>
        <v>0</v>
      </c>
      <c r="Z68" s="13"/>
      <c r="AA68" s="31"/>
      <c r="AB68" s="27"/>
    </row>
    <row r="69" spans="2:28" s="14" customFormat="1">
      <c r="B69" s="11">
        <v>59</v>
      </c>
      <c r="C69" s="12" t="s">
        <v>227</v>
      </c>
      <c r="D69" s="12" t="s">
        <v>228</v>
      </c>
      <c r="E69" s="12" t="s">
        <v>229</v>
      </c>
      <c r="F69" s="29" t="s">
        <v>38</v>
      </c>
      <c r="G69" s="11">
        <v>2023</v>
      </c>
      <c r="H69" s="16">
        <v>45230</v>
      </c>
      <c r="I69" s="16">
        <v>45596</v>
      </c>
      <c r="J69" s="11">
        <v>2976</v>
      </c>
      <c r="K69" s="12" t="s">
        <v>230</v>
      </c>
      <c r="L69" s="16">
        <v>45544</v>
      </c>
      <c r="M69" s="12" t="s">
        <v>87</v>
      </c>
      <c r="N69" s="11" t="s">
        <v>41</v>
      </c>
      <c r="O69" s="25">
        <v>6791904</v>
      </c>
      <c r="P69" s="2">
        <v>15</v>
      </c>
      <c r="Q69" s="25">
        <v>1018785.6</v>
      </c>
      <c r="R69" s="25">
        <v>215442.803404793</v>
      </c>
      <c r="S69" s="25">
        <v>0</v>
      </c>
      <c r="T69" s="25">
        <v>801547</v>
      </c>
      <c r="U69" s="25">
        <v>1795.7965952069499</v>
      </c>
      <c r="V69" s="18">
        <v>0</v>
      </c>
      <c r="W69" s="13">
        <v>609176</v>
      </c>
      <c r="X69" s="13">
        <v>0</v>
      </c>
      <c r="Y69" s="13">
        <f t="shared" si="1"/>
        <v>0</v>
      </c>
      <c r="Z69" s="13"/>
      <c r="AA69" s="31"/>
      <c r="AB69" s="27"/>
    </row>
    <row r="70" spans="2:28" s="14" customFormat="1">
      <c r="B70" s="11">
        <v>60</v>
      </c>
      <c r="C70" s="12" t="s">
        <v>231</v>
      </c>
      <c r="D70" s="12" t="s">
        <v>232</v>
      </c>
      <c r="E70" s="12" t="s">
        <v>233</v>
      </c>
      <c r="F70" s="29" t="s">
        <v>38</v>
      </c>
      <c r="G70" s="11">
        <v>2023</v>
      </c>
      <c r="H70" s="16">
        <v>45230</v>
      </c>
      <c r="I70" s="16">
        <v>45596</v>
      </c>
      <c r="J70" s="11">
        <v>2976</v>
      </c>
      <c r="K70" s="12" t="s">
        <v>230</v>
      </c>
      <c r="L70" s="16">
        <v>45351</v>
      </c>
      <c r="M70" s="12" t="s">
        <v>87</v>
      </c>
      <c r="N70" s="11" t="s">
        <v>41</v>
      </c>
      <c r="O70" s="25">
        <v>89802338</v>
      </c>
      <c r="P70" s="2">
        <v>15</v>
      </c>
      <c r="Q70" s="25">
        <v>13470350.699999999</v>
      </c>
      <c r="R70" s="25">
        <v>2253433.6214027898</v>
      </c>
      <c r="S70" s="25">
        <v>0</v>
      </c>
      <c r="T70" s="25">
        <v>11198139</v>
      </c>
      <c r="U70" s="25">
        <v>18778.078597210348</v>
      </c>
      <c r="V70" s="18">
        <v>0</v>
      </c>
      <c r="W70" s="13">
        <v>8510585</v>
      </c>
      <c r="X70" s="13">
        <v>0</v>
      </c>
      <c r="Y70" s="13">
        <f t="shared" si="1"/>
        <v>0</v>
      </c>
      <c r="Z70" s="13"/>
      <c r="AA70" s="31"/>
      <c r="AB70" s="27"/>
    </row>
    <row r="71" spans="2:28" s="14" customFormat="1">
      <c r="B71" s="11">
        <v>61</v>
      </c>
      <c r="C71" s="12" t="s">
        <v>234</v>
      </c>
      <c r="D71" s="12" t="s">
        <v>235</v>
      </c>
      <c r="E71" s="12" t="s">
        <v>236</v>
      </c>
      <c r="F71" s="29" t="s">
        <v>38</v>
      </c>
      <c r="G71" s="11">
        <v>2023</v>
      </c>
      <c r="H71" s="16">
        <v>45230</v>
      </c>
      <c r="I71" s="16">
        <v>45596</v>
      </c>
      <c r="J71" s="11">
        <v>2976</v>
      </c>
      <c r="K71" s="12" t="s">
        <v>237</v>
      </c>
      <c r="L71" s="16">
        <v>45381</v>
      </c>
      <c r="M71" s="12" t="s">
        <v>87</v>
      </c>
      <c r="N71" s="11" t="s">
        <v>41</v>
      </c>
      <c r="O71" s="25">
        <v>145121898</v>
      </c>
      <c r="P71" s="2">
        <v>15</v>
      </c>
      <c r="Q71" s="25">
        <v>21768284.699999999</v>
      </c>
      <c r="R71" s="25">
        <v>12023848.844676901</v>
      </c>
      <c r="S71" s="25">
        <v>0</v>
      </c>
      <c r="T71" s="25">
        <v>9644237</v>
      </c>
      <c r="U71" s="25">
        <v>100198.8553230986</v>
      </c>
      <c r="V71" s="18">
        <v>0</v>
      </c>
      <c r="W71" s="13">
        <v>7329620</v>
      </c>
      <c r="X71" s="13">
        <v>0</v>
      </c>
      <c r="Y71" s="13">
        <f t="shared" si="1"/>
        <v>0</v>
      </c>
      <c r="Z71" s="13"/>
      <c r="AA71" s="31"/>
      <c r="AB71" s="27"/>
    </row>
    <row r="72" spans="2:28" s="14" customFormat="1">
      <c r="B72" s="11">
        <v>62</v>
      </c>
      <c r="C72" s="12" t="s">
        <v>238</v>
      </c>
      <c r="D72" s="12" t="s">
        <v>239</v>
      </c>
      <c r="E72" s="12" t="s">
        <v>240</v>
      </c>
      <c r="F72" s="29" t="s">
        <v>38</v>
      </c>
      <c r="G72" s="11">
        <v>2023</v>
      </c>
      <c r="H72" s="16">
        <v>45291</v>
      </c>
      <c r="I72" s="16">
        <v>45657</v>
      </c>
      <c r="J72" s="11">
        <v>23002</v>
      </c>
      <c r="K72" s="12" t="s">
        <v>160</v>
      </c>
      <c r="L72" s="16">
        <v>45630</v>
      </c>
      <c r="M72" s="12" t="s">
        <v>87</v>
      </c>
      <c r="N72" s="11" t="s">
        <v>41</v>
      </c>
      <c r="O72" s="25">
        <v>1392044600</v>
      </c>
      <c r="P72" s="2">
        <v>20</v>
      </c>
      <c r="Q72" s="25">
        <v>278408920</v>
      </c>
      <c r="R72" s="25">
        <v>97413897.830651104</v>
      </c>
      <c r="S72" s="25">
        <v>0</v>
      </c>
      <c r="T72" s="25">
        <v>180751487</v>
      </c>
      <c r="U72" s="25">
        <v>243535.16934889555</v>
      </c>
      <c r="V72" s="18">
        <v>0</v>
      </c>
      <c r="W72" s="13">
        <v>137371130</v>
      </c>
      <c r="X72" s="13">
        <v>0</v>
      </c>
      <c r="Y72" s="13">
        <f t="shared" si="1"/>
        <v>0</v>
      </c>
      <c r="Z72" s="13"/>
      <c r="AA72" s="31"/>
      <c r="AB72" s="27"/>
    </row>
    <row r="73" spans="2:28" s="14" customFormat="1">
      <c r="B73" s="11">
        <v>63</v>
      </c>
      <c r="C73" s="12" t="s">
        <v>241</v>
      </c>
      <c r="D73" s="12" t="s">
        <v>242</v>
      </c>
      <c r="E73" s="12" t="s">
        <v>243</v>
      </c>
      <c r="F73" s="29" t="s">
        <v>38</v>
      </c>
      <c r="G73" s="11">
        <v>2023</v>
      </c>
      <c r="H73" s="16">
        <v>45291</v>
      </c>
      <c r="I73" s="16">
        <v>45657</v>
      </c>
      <c r="J73" s="11">
        <v>2937</v>
      </c>
      <c r="K73" s="12" t="s">
        <v>244</v>
      </c>
      <c r="L73" s="16">
        <v>45612</v>
      </c>
      <c r="M73" s="12" t="s">
        <v>87</v>
      </c>
      <c r="N73" s="11" t="s">
        <v>41</v>
      </c>
      <c r="O73" s="25">
        <v>24358000</v>
      </c>
      <c r="P73" s="2">
        <v>20</v>
      </c>
      <c r="Q73" s="25">
        <v>4871600</v>
      </c>
      <c r="R73" s="25">
        <v>1607773.80872947</v>
      </c>
      <c r="S73" s="25">
        <v>0</v>
      </c>
      <c r="T73" s="25">
        <v>3259806</v>
      </c>
      <c r="U73" s="25">
        <v>4020.1912705302238</v>
      </c>
      <c r="V73" s="18">
        <v>0</v>
      </c>
      <c r="W73" s="13">
        <v>2477453</v>
      </c>
      <c r="X73" s="13">
        <v>24358000</v>
      </c>
      <c r="Y73" s="13">
        <f t="shared" si="1"/>
        <v>18512080</v>
      </c>
      <c r="Z73" s="13"/>
      <c r="AA73" s="31"/>
      <c r="AB73" s="27"/>
    </row>
    <row r="74" spans="2:28" s="14" customFormat="1">
      <c r="B74" s="11">
        <v>64</v>
      </c>
      <c r="C74" s="12" t="s">
        <v>245</v>
      </c>
      <c r="D74" s="12" t="s">
        <v>242</v>
      </c>
      <c r="E74" s="12" t="s">
        <v>243</v>
      </c>
      <c r="F74" s="29" t="s">
        <v>38</v>
      </c>
      <c r="G74" s="11">
        <v>2023</v>
      </c>
      <c r="H74" s="16">
        <v>45291</v>
      </c>
      <c r="I74" s="16">
        <v>45657</v>
      </c>
      <c r="J74" s="11">
        <v>23002</v>
      </c>
      <c r="K74" s="12" t="s">
        <v>246</v>
      </c>
      <c r="L74" s="16">
        <v>45653</v>
      </c>
      <c r="M74" s="12" t="s">
        <v>87</v>
      </c>
      <c r="N74" s="11" t="s">
        <v>41</v>
      </c>
      <c r="O74" s="25">
        <v>1329050</v>
      </c>
      <c r="P74" s="2">
        <v>20</v>
      </c>
      <c r="Q74" s="25">
        <v>265810</v>
      </c>
      <c r="R74" s="25">
        <v>151223.57127227201</v>
      </c>
      <c r="S74" s="25">
        <v>0</v>
      </c>
      <c r="T74" s="25">
        <v>114208</v>
      </c>
      <c r="U74" s="25">
        <v>378.42872772799456</v>
      </c>
      <c r="V74" s="18">
        <v>0</v>
      </c>
      <c r="W74" s="13">
        <v>86798</v>
      </c>
      <c r="X74" s="13">
        <v>0</v>
      </c>
      <c r="Y74" s="13">
        <f t="shared" si="1"/>
        <v>0</v>
      </c>
      <c r="Z74" s="13"/>
      <c r="AA74" s="31"/>
      <c r="AB74" s="27"/>
    </row>
    <row r="75" spans="2:28" s="14" customFormat="1">
      <c r="B75" s="11">
        <v>65</v>
      </c>
      <c r="C75" s="12" t="s">
        <v>247</v>
      </c>
      <c r="D75" s="12" t="s">
        <v>248</v>
      </c>
      <c r="E75" s="12" t="s">
        <v>249</v>
      </c>
      <c r="F75" s="29" t="s">
        <v>38</v>
      </c>
      <c r="G75" s="11">
        <v>2023</v>
      </c>
      <c r="H75" s="16">
        <v>45291</v>
      </c>
      <c r="I75" s="16">
        <v>45657</v>
      </c>
      <c r="J75" s="11" t="s">
        <v>99</v>
      </c>
      <c r="K75" s="12" t="s">
        <v>250</v>
      </c>
      <c r="L75" s="16">
        <v>45519</v>
      </c>
      <c r="M75" s="12" t="s">
        <v>87</v>
      </c>
      <c r="N75" s="11" t="s">
        <v>41</v>
      </c>
      <c r="O75" s="25">
        <v>1100000</v>
      </c>
      <c r="P75" s="2">
        <v>10</v>
      </c>
      <c r="Q75" s="25">
        <v>110000</v>
      </c>
      <c r="R75" s="25">
        <v>39651.109884129299</v>
      </c>
      <c r="S75" s="25">
        <v>0</v>
      </c>
      <c r="T75" s="25">
        <v>70284</v>
      </c>
      <c r="U75" s="25">
        <v>64.890115870701266</v>
      </c>
      <c r="V75" s="18">
        <v>0</v>
      </c>
      <c r="W75" s="13">
        <v>53415</v>
      </c>
      <c r="X75" s="13">
        <v>0</v>
      </c>
      <c r="Y75" s="13">
        <f t="shared" si="1"/>
        <v>0</v>
      </c>
      <c r="Z75" s="13"/>
      <c r="AA75" s="31"/>
      <c r="AB75" s="27"/>
    </row>
    <row r="76" spans="2:28" s="14" customFormat="1">
      <c r="B76" s="11">
        <v>66</v>
      </c>
      <c r="C76" s="12" t="s">
        <v>251</v>
      </c>
      <c r="D76" s="12" t="s">
        <v>252</v>
      </c>
      <c r="E76" s="12" t="s">
        <v>253</v>
      </c>
      <c r="F76" s="29" t="s">
        <v>38</v>
      </c>
      <c r="G76" s="11">
        <v>2023</v>
      </c>
      <c r="H76" s="16">
        <v>45291</v>
      </c>
      <c r="I76" s="16">
        <v>45657</v>
      </c>
      <c r="J76" s="11">
        <v>2975</v>
      </c>
      <c r="K76" s="12" t="s">
        <v>254</v>
      </c>
      <c r="L76" s="16">
        <v>45476</v>
      </c>
      <c r="M76" s="12" t="s">
        <v>87</v>
      </c>
      <c r="N76" s="11" t="s">
        <v>41</v>
      </c>
      <c r="O76" s="25">
        <v>65228272.000000007</v>
      </c>
      <c r="P76" s="2">
        <v>9</v>
      </c>
      <c r="Q76" s="25">
        <v>5870544.4800000004</v>
      </c>
      <c r="R76" s="25">
        <v>1397748.68571429</v>
      </c>
      <c r="S76" s="25">
        <v>0</v>
      </c>
      <c r="T76" s="25">
        <v>4470699</v>
      </c>
      <c r="U76" s="25">
        <v>2096.794285710901</v>
      </c>
      <c r="V76" s="18">
        <v>0</v>
      </c>
      <c r="W76" s="13">
        <v>3397731</v>
      </c>
      <c r="X76" s="13">
        <v>65248985</v>
      </c>
      <c r="Y76" s="13">
        <f t="shared" si="1"/>
        <v>49589228.600000001</v>
      </c>
      <c r="Z76" s="13"/>
      <c r="AA76" s="31"/>
      <c r="AB76" s="27"/>
    </row>
    <row r="77" spans="2:28" s="14" customFormat="1">
      <c r="B77" s="11">
        <v>67</v>
      </c>
      <c r="C77" s="12" t="s">
        <v>255</v>
      </c>
      <c r="D77" s="12" t="s">
        <v>256</v>
      </c>
      <c r="E77" s="12" t="s">
        <v>257</v>
      </c>
      <c r="F77" s="29" t="s">
        <v>38</v>
      </c>
      <c r="G77" s="11">
        <v>2023</v>
      </c>
      <c r="H77" s="16">
        <v>45291</v>
      </c>
      <c r="I77" s="16">
        <v>45657</v>
      </c>
      <c r="J77" s="11">
        <v>23002</v>
      </c>
      <c r="K77" s="12" t="s">
        <v>246</v>
      </c>
      <c r="L77" s="16">
        <v>45597</v>
      </c>
      <c r="M77" s="12" t="s">
        <v>87</v>
      </c>
      <c r="N77" s="11" t="s">
        <v>41</v>
      </c>
      <c r="O77" s="25">
        <v>35102500</v>
      </c>
      <c r="P77" s="2">
        <v>20</v>
      </c>
      <c r="Q77" s="25">
        <v>7020500</v>
      </c>
      <c r="R77" s="25">
        <v>1960485.89779392</v>
      </c>
      <c r="S77" s="25">
        <v>0</v>
      </c>
      <c r="T77" s="25">
        <v>5055113</v>
      </c>
      <c r="U77" s="25">
        <v>4901.1022060802206</v>
      </c>
      <c r="V77" s="18">
        <v>0</v>
      </c>
      <c r="W77" s="13">
        <v>3841886</v>
      </c>
      <c r="X77" s="13">
        <v>35000000</v>
      </c>
      <c r="Y77" s="13">
        <f t="shared" si="1"/>
        <v>26600000</v>
      </c>
      <c r="Z77" s="13"/>
      <c r="AA77" s="31"/>
      <c r="AB77" s="27"/>
    </row>
    <row r="78" spans="2:28" s="14" customFormat="1">
      <c r="B78" s="11">
        <v>68</v>
      </c>
      <c r="C78" s="12" t="s">
        <v>258</v>
      </c>
      <c r="D78" s="12" t="s">
        <v>259</v>
      </c>
      <c r="E78" s="12" t="s">
        <v>260</v>
      </c>
      <c r="F78" s="29" t="s">
        <v>38</v>
      </c>
      <c r="G78" s="11">
        <v>2023</v>
      </c>
      <c r="H78" s="16">
        <v>45291</v>
      </c>
      <c r="I78" s="16">
        <v>45657</v>
      </c>
      <c r="J78" s="11">
        <v>2975</v>
      </c>
      <c r="K78" s="12" t="s">
        <v>205</v>
      </c>
      <c r="L78" s="16">
        <v>45461</v>
      </c>
      <c r="M78" s="12" t="s">
        <v>87</v>
      </c>
      <c r="N78" s="11" t="s">
        <v>41</v>
      </c>
      <c r="O78" s="25">
        <v>41422500</v>
      </c>
      <c r="P78" s="2">
        <v>10</v>
      </c>
      <c r="Q78" s="25">
        <v>4142250</v>
      </c>
      <c r="R78" s="25">
        <v>2923941.1764705898</v>
      </c>
      <c r="S78" s="25">
        <v>0</v>
      </c>
      <c r="T78" s="25">
        <v>1213436</v>
      </c>
      <c r="U78" s="25">
        <v>4872.823529410176</v>
      </c>
      <c r="V78" s="18">
        <v>0</v>
      </c>
      <c r="W78" s="13">
        <v>922211</v>
      </c>
      <c r="X78" s="13">
        <v>0</v>
      </c>
      <c r="Y78" s="13">
        <f t="shared" si="1"/>
        <v>0</v>
      </c>
      <c r="Z78" s="13"/>
      <c r="AA78" s="31"/>
      <c r="AB78" s="27"/>
    </row>
    <row r="79" spans="2:28" s="14" customFormat="1">
      <c r="B79" s="11">
        <v>69</v>
      </c>
      <c r="C79" s="12" t="s">
        <v>261</v>
      </c>
      <c r="D79" s="12" t="s">
        <v>262</v>
      </c>
      <c r="E79" s="12" t="s">
        <v>263</v>
      </c>
      <c r="F79" s="29" t="s">
        <v>38</v>
      </c>
      <c r="G79" s="11">
        <v>2023</v>
      </c>
      <c r="H79" s="16">
        <v>45121</v>
      </c>
      <c r="I79" s="16">
        <v>45487</v>
      </c>
      <c r="J79" s="11">
        <v>2732</v>
      </c>
      <c r="K79" s="12" t="s">
        <v>264</v>
      </c>
      <c r="L79" s="16">
        <v>45431</v>
      </c>
      <c r="M79" s="12" t="s">
        <v>87</v>
      </c>
      <c r="N79" s="11" t="s">
        <v>41</v>
      </c>
      <c r="O79" s="25">
        <v>33433200</v>
      </c>
      <c r="P79" s="2">
        <v>5</v>
      </c>
      <c r="Q79" s="25">
        <v>1671660</v>
      </c>
      <c r="R79" s="25">
        <v>1008189.39993473</v>
      </c>
      <c r="S79" s="25">
        <v>0</v>
      </c>
      <c r="T79" s="25">
        <v>662900</v>
      </c>
      <c r="U79" s="25">
        <v>570.60006526997313</v>
      </c>
      <c r="V79" s="18">
        <v>0</v>
      </c>
      <c r="W79" s="13">
        <v>503804</v>
      </c>
      <c r="X79" s="13">
        <v>0</v>
      </c>
      <c r="Y79" s="13">
        <f t="shared" si="1"/>
        <v>0</v>
      </c>
      <c r="Z79" s="13"/>
      <c r="AA79" s="31"/>
      <c r="AB79" s="27"/>
    </row>
    <row r="80" spans="2:28" s="14" customFormat="1">
      <c r="B80" s="11">
        <v>70</v>
      </c>
      <c r="C80" s="12" t="s">
        <v>265</v>
      </c>
      <c r="D80" s="12" t="s">
        <v>266</v>
      </c>
      <c r="E80" s="12" t="s">
        <v>267</v>
      </c>
      <c r="F80" s="29" t="s">
        <v>38</v>
      </c>
      <c r="G80" s="11">
        <v>2023</v>
      </c>
      <c r="H80" s="16">
        <v>45252</v>
      </c>
      <c r="I80" s="16">
        <v>45618</v>
      </c>
      <c r="J80" s="11">
        <v>2929</v>
      </c>
      <c r="K80" s="12" t="s">
        <v>268</v>
      </c>
      <c r="L80" s="16">
        <v>45254</v>
      </c>
      <c r="M80" s="12" t="s">
        <v>269</v>
      </c>
      <c r="N80" s="11" t="s">
        <v>41</v>
      </c>
      <c r="O80" s="25">
        <v>68801591.900000006</v>
      </c>
      <c r="P80" s="2">
        <v>100</v>
      </c>
      <c r="Q80" s="25">
        <v>68801591.900000006</v>
      </c>
      <c r="R80" s="25">
        <v>6111177.3993185004</v>
      </c>
      <c r="S80" s="25">
        <v>0</v>
      </c>
      <c r="T80" s="25">
        <v>2472032</v>
      </c>
      <c r="U80" s="25">
        <v>60218382.500681505</v>
      </c>
      <c r="V80" s="18">
        <v>0</v>
      </c>
      <c r="W80" s="13">
        <v>1878744</v>
      </c>
      <c r="X80" s="13">
        <v>0</v>
      </c>
      <c r="Y80" s="13">
        <f t="shared" si="1"/>
        <v>0</v>
      </c>
      <c r="Z80" s="13"/>
      <c r="AA80" s="31"/>
      <c r="AB80" s="27"/>
    </row>
    <row r="81" spans="2:28" s="14" customFormat="1">
      <c r="B81" s="11">
        <v>71</v>
      </c>
      <c r="C81" s="12" t="s">
        <v>270</v>
      </c>
      <c r="D81" s="12" t="s">
        <v>266</v>
      </c>
      <c r="E81" s="12" t="s">
        <v>267</v>
      </c>
      <c r="F81" s="29" t="s">
        <v>38</v>
      </c>
      <c r="G81" s="11">
        <v>2023</v>
      </c>
      <c r="H81" s="16">
        <v>45252</v>
      </c>
      <c r="I81" s="16">
        <v>45618</v>
      </c>
      <c r="J81" s="11">
        <v>2929</v>
      </c>
      <c r="K81" s="12" t="s">
        <v>268</v>
      </c>
      <c r="L81" s="16">
        <v>45255</v>
      </c>
      <c r="M81" s="12" t="s">
        <v>269</v>
      </c>
      <c r="N81" s="11" t="s">
        <v>41</v>
      </c>
      <c r="O81" s="25">
        <v>68801591.900000006</v>
      </c>
      <c r="P81" s="2">
        <v>100</v>
      </c>
      <c r="Q81" s="25">
        <v>68801591.900000006</v>
      </c>
      <c r="R81" s="25">
        <v>6111177.3993185004</v>
      </c>
      <c r="S81" s="25">
        <v>0</v>
      </c>
      <c r="T81" s="25">
        <v>3381813</v>
      </c>
      <c r="U81" s="25">
        <v>59308601.500681505</v>
      </c>
      <c r="V81" s="18">
        <v>0</v>
      </c>
      <c r="W81" s="13">
        <v>2570178</v>
      </c>
      <c r="X81" s="13">
        <v>0</v>
      </c>
      <c r="Y81" s="13">
        <f t="shared" si="1"/>
        <v>0</v>
      </c>
      <c r="Z81" s="13"/>
      <c r="AA81" s="31"/>
      <c r="AB81" s="27"/>
    </row>
    <row r="82" spans="2:28" s="14" customFormat="1">
      <c r="B82" s="11">
        <v>72</v>
      </c>
      <c r="C82" s="12" t="s">
        <v>271</v>
      </c>
      <c r="D82" s="12" t="s">
        <v>266</v>
      </c>
      <c r="E82" s="12" t="s">
        <v>267</v>
      </c>
      <c r="F82" s="29" t="s">
        <v>38</v>
      </c>
      <c r="G82" s="11">
        <v>2023</v>
      </c>
      <c r="H82" s="16">
        <v>45252</v>
      </c>
      <c r="I82" s="16">
        <v>45618</v>
      </c>
      <c r="J82" s="11">
        <v>2929</v>
      </c>
      <c r="K82" s="12" t="s">
        <v>268</v>
      </c>
      <c r="L82" s="16">
        <v>45259</v>
      </c>
      <c r="M82" s="12" t="s">
        <v>269</v>
      </c>
      <c r="N82" s="11" t="s">
        <v>41</v>
      </c>
      <c r="O82" s="25">
        <v>9339261.0500000007</v>
      </c>
      <c r="P82" s="2">
        <v>100</v>
      </c>
      <c r="Q82" s="25">
        <v>9339261.0500000007</v>
      </c>
      <c r="R82" s="25">
        <v>3471058.2305626902</v>
      </c>
      <c r="S82" s="25">
        <v>0</v>
      </c>
      <c r="T82" s="25">
        <v>1516950</v>
      </c>
      <c r="U82" s="25">
        <v>4351252.8194373101</v>
      </c>
      <c r="V82" s="18">
        <v>0</v>
      </c>
      <c r="W82" s="13">
        <v>1152882</v>
      </c>
      <c r="X82" s="13">
        <v>0</v>
      </c>
      <c r="Y82" s="13">
        <f t="shared" si="1"/>
        <v>0</v>
      </c>
      <c r="Z82" s="13"/>
      <c r="AA82" s="31"/>
      <c r="AB82" s="27"/>
    </row>
    <row r="83" spans="2:28" s="14" customFormat="1">
      <c r="B83" s="11">
        <v>73</v>
      </c>
      <c r="C83" s="12" t="s">
        <v>272</v>
      </c>
      <c r="D83" s="12" t="s">
        <v>266</v>
      </c>
      <c r="E83" s="12" t="s">
        <v>267</v>
      </c>
      <c r="F83" s="29" t="s">
        <v>38</v>
      </c>
      <c r="G83" s="11">
        <v>2023</v>
      </c>
      <c r="H83" s="16">
        <v>45252</v>
      </c>
      <c r="I83" s="16">
        <v>45618</v>
      </c>
      <c r="J83" s="11">
        <v>2929</v>
      </c>
      <c r="K83" s="12" t="s">
        <v>268</v>
      </c>
      <c r="L83" s="16">
        <v>45261</v>
      </c>
      <c r="M83" s="12" t="s">
        <v>269</v>
      </c>
      <c r="N83" s="11" t="s">
        <v>41</v>
      </c>
      <c r="O83" s="25">
        <v>68801591.900000006</v>
      </c>
      <c r="P83" s="2">
        <v>100</v>
      </c>
      <c r="Q83" s="25">
        <v>68801591.900000006</v>
      </c>
      <c r="R83" s="25">
        <v>6111177.3993185004</v>
      </c>
      <c r="S83" s="25">
        <v>0</v>
      </c>
      <c r="T83" s="25">
        <v>1485318</v>
      </c>
      <c r="U83" s="25">
        <v>61205096.500681505</v>
      </c>
      <c r="V83" s="18">
        <v>0</v>
      </c>
      <c r="W83" s="13">
        <v>1128842</v>
      </c>
      <c r="X83" s="13">
        <v>0</v>
      </c>
      <c r="Y83" s="13">
        <f t="shared" si="1"/>
        <v>0</v>
      </c>
      <c r="Z83" s="13"/>
      <c r="AA83" s="31"/>
      <c r="AB83" s="27"/>
    </row>
    <row r="84" spans="2:28" s="14" customFormat="1">
      <c r="B84" s="11">
        <v>74</v>
      </c>
      <c r="C84" s="12" t="s">
        <v>273</v>
      </c>
      <c r="D84" s="12" t="s">
        <v>266</v>
      </c>
      <c r="E84" s="12" t="s">
        <v>267</v>
      </c>
      <c r="F84" s="29" t="s">
        <v>38</v>
      </c>
      <c r="G84" s="11">
        <v>2023</v>
      </c>
      <c r="H84" s="16">
        <v>45252</v>
      </c>
      <c r="I84" s="16">
        <v>45618</v>
      </c>
      <c r="J84" s="11">
        <v>2929</v>
      </c>
      <c r="K84" s="12" t="s">
        <v>268</v>
      </c>
      <c r="L84" s="16">
        <v>45265</v>
      </c>
      <c r="M84" s="12" t="s">
        <v>269</v>
      </c>
      <c r="N84" s="11" t="s">
        <v>41</v>
      </c>
      <c r="O84" s="25">
        <v>68801591.900000006</v>
      </c>
      <c r="P84" s="2">
        <v>100</v>
      </c>
      <c r="Q84" s="25">
        <v>68801591.900000006</v>
      </c>
      <c r="R84" s="25">
        <v>6111177.3993185004</v>
      </c>
      <c r="S84" s="25">
        <v>0</v>
      </c>
      <c r="T84" s="25">
        <v>2147</v>
      </c>
      <c r="U84" s="25">
        <v>62688267.500681505</v>
      </c>
      <c r="V84" s="18">
        <v>0</v>
      </c>
      <c r="W84" s="13">
        <v>1632</v>
      </c>
      <c r="X84" s="13">
        <v>0</v>
      </c>
      <c r="Y84" s="13">
        <f t="shared" si="1"/>
        <v>0</v>
      </c>
      <c r="Z84" s="13"/>
      <c r="AA84" s="31"/>
      <c r="AB84" s="27"/>
    </row>
    <row r="85" spans="2:28" s="14" customFormat="1">
      <c r="B85" s="11">
        <v>75</v>
      </c>
      <c r="C85" s="12" t="s">
        <v>274</v>
      </c>
      <c r="D85" s="12" t="s">
        <v>266</v>
      </c>
      <c r="E85" s="12" t="s">
        <v>267</v>
      </c>
      <c r="F85" s="29" t="s">
        <v>38</v>
      </c>
      <c r="G85" s="11">
        <v>2023</v>
      </c>
      <c r="H85" s="16">
        <v>45252</v>
      </c>
      <c r="I85" s="16">
        <v>45618</v>
      </c>
      <c r="J85" s="11">
        <v>2929</v>
      </c>
      <c r="K85" s="12" t="s">
        <v>268</v>
      </c>
      <c r="L85" s="16">
        <v>45266</v>
      </c>
      <c r="M85" s="12" t="s">
        <v>269</v>
      </c>
      <c r="N85" s="11" t="s">
        <v>41</v>
      </c>
      <c r="O85" s="25">
        <v>10526667.65</v>
      </c>
      <c r="P85" s="2">
        <v>100</v>
      </c>
      <c r="Q85" s="25">
        <v>10526667.65</v>
      </c>
      <c r="R85" s="25">
        <v>1581069.0678453101</v>
      </c>
      <c r="S85" s="25">
        <v>0</v>
      </c>
      <c r="T85" s="25">
        <v>5780811</v>
      </c>
      <c r="U85" s="25">
        <v>3164787.5821546912</v>
      </c>
      <c r="V85" s="18">
        <v>0</v>
      </c>
      <c r="W85" s="13">
        <v>4393417</v>
      </c>
      <c r="X85" s="13">
        <v>136050573</v>
      </c>
      <c r="Y85" s="13">
        <f t="shared" si="1"/>
        <v>103398435.48</v>
      </c>
      <c r="Z85" s="13"/>
      <c r="AA85" s="31"/>
      <c r="AB85" s="27"/>
    </row>
    <row r="86" spans="2:28" s="14" customFormat="1">
      <c r="B86" s="11">
        <v>76</v>
      </c>
      <c r="C86" s="12" t="s">
        <v>275</v>
      </c>
      <c r="D86" s="12" t="s">
        <v>266</v>
      </c>
      <c r="E86" s="12" t="s">
        <v>267</v>
      </c>
      <c r="F86" s="29" t="s">
        <v>38</v>
      </c>
      <c r="G86" s="11">
        <v>2023</v>
      </c>
      <c r="H86" s="16">
        <v>45252</v>
      </c>
      <c r="I86" s="16">
        <v>45618</v>
      </c>
      <c r="J86" s="11">
        <v>2929</v>
      </c>
      <c r="K86" s="12" t="s">
        <v>268</v>
      </c>
      <c r="L86" s="16">
        <v>45267</v>
      </c>
      <c r="M86" s="12" t="s">
        <v>269</v>
      </c>
      <c r="N86" s="11" t="s">
        <v>41</v>
      </c>
      <c r="O86" s="25">
        <v>32124700.899999999</v>
      </c>
      <c r="P86" s="2">
        <v>100</v>
      </c>
      <c r="Q86" s="25">
        <v>32124700.899999999</v>
      </c>
      <c r="R86" s="25">
        <v>5687147.9729585899</v>
      </c>
      <c r="S86" s="25">
        <v>0</v>
      </c>
      <c r="T86" s="25">
        <v>2103392</v>
      </c>
      <c r="U86" s="25">
        <v>24334160.927041408</v>
      </c>
      <c r="V86" s="18">
        <v>0</v>
      </c>
      <c r="W86" s="13">
        <v>1598578</v>
      </c>
      <c r="X86" s="13">
        <v>0</v>
      </c>
      <c r="Y86" s="13">
        <f t="shared" si="1"/>
        <v>0</v>
      </c>
      <c r="Z86" s="13"/>
      <c r="AA86" s="31"/>
      <c r="AB86" s="27"/>
    </row>
    <row r="87" spans="2:28" s="14" customFormat="1">
      <c r="B87" s="11">
        <v>77</v>
      </c>
      <c r="C87" s="12" t="s">
        <v>276</v>
      </c>
      <c r="D87" s="12" t="s">
        <v>266</v>
      </c>
      <c r="E87" s="12" t="s">
        <v>267</v>
      </c>
      <c r="F87" s="29" t="s">
        <v>38</v>
      </c>
      <c r="G87" s="11">
        <v>2023</v>
      </c>
      <c r="H87" s="16">
        <v>45252</v>
      </c>
      <c r="I87" s="16">
        <v>45618</v>
      </c>
      <c r="J87" s="11">
        <v>2929</v>
      </c>
      <c r="K87" s="12" t="s">
        <v>268</v>
      </c>
      <c r="L87" s="16">
        <v>45272</v>
      </c>
      <c r="M87" s="12" t="s">
        <v>269</v>
      </c>
      <c r="N87" s="11" t="s">
        <v>41</v>
      </c>
      <c r="O87" s="25">
        <v>32124700.899999999</v>
      </c>
      <c r="P87" s="2">
        <v>100</v>
      </c>
      <c r="Q87" s="25">
        <v>32124700.899999999</v>
      </c>
      <c r="R87" s="25">
        <v>5687147.9729585899</v>
      </c>
      <c r="S87" s="25">
        <v>0</v>
      </c>
      <c r="T87" s="25">
        <v>2270169</v>
      </c>
      <c r="U87" s="25">
        <v>24167383.927041408</v>
      </c>
      <c r="V87" s="18">
        <v>0</v>
      </c>
      <c r="W87" s="13">
        <v>1725329</v>
      </c>
      <c r="X87" s="13">
        <v>0</v>
      </c>
      <c r="Y87" s="13">
        <f t="shared" si="1"/>
        <v>0</v>
      </c>
      <c r="Z87" s="13"/>
      <c r="AA87" s="31"/>
      <c r="AB87" s="27"/>
    </row>
    <row r="88" spans="2:28" s="14" customFormat="1">
      <c r="B88" s="11">
        <v>78</v>
      </c>
      <c r="C88" s="12" t="s">
        <v>277</v>
      </c>
      <c r="D88" s="12" t="s">
        <v>266</v>
      </c>
      <c r="E88" s="12" t="s">
        <v>267</v>
      </c>
      <c r="F88" s="29" t="s">
        <v>38</v>
      </c>
      <c r="G88" s="11">
        <v>2023</v>
      </c>
      <c r="H88" s="16">
        <v>45252</v>
      </c>
      <c r="I88" s="16">
        <v>45618</v>
      </c>
      <c r="J88" s="11">
        <v>2929</v>
      </c>
      <c r="K88" s="12" t="s">
        <v>268</v>
      </c>
      <c r="L88" s="16">
        <v>45272</v>
      </c>
      <c r="M88" s="12" t="s">
        <v>269</v>
      </c>
      <c r="N88" s="11" t="s">
        <v>41</v>
      </c>
      <c r="O88" s="25">
        <v>32124700.899999999</v>
      </c>
      <c r="P88" s="2">
        <v>100</v>
      </c>
      <c r="Q88" s="25">
        <v>32124700.899999999</v>
      </c>
      <c r="R88" s="25">
        <v>5687147.9729585899</v>
      </c>
      <c r="S88" s="25">
        <v>0</v>
      </c>
      <c r="T88" s="25">
        <v>1769028</v>
      </c>
      <c r="U88" s="25">
        <v>24668524.927041408</v>
      </c>
      <c r="V88" s="18">
        <v>0</v>
      </c>
      <c r="W88" s="13">
        <v>1344461</v>
      </c>
      <c r="X88" s="13">
        <v>0</v>
      </c>
      <c r="Y88" s="13">
        <f t="shared" si="1"/>
        <v>0</v>
      </c>
      <c r="Z88" s="13"/>
      <c r="AA88" s="31"/>
      <c r="AB88" s="27"/>
    </row>
    <row r="89" spans="2:28" s="14" customFormat="1">
      <c r="B89" s="11">
        <v>79</v>
      </c>
      <c r="C89" s="12" t="s">
        <v>278</v>
      </c>
      <c r="D89" s="12" t="s">
        <v>266</v>
      </c>
      <c r="E89" s="12" t="s">
        <v>267</v>
      </c>
      <c r="F89" s="29" t="s">
        <v>38</v>
      </c>
      <c r="G89" s="11">
        <v>2023</v>
      </c>
      <c r="H89" s="16">
        <v>45252</v>
      </c>
      <c r="I89" s="16">
        <v>45618</v>
      </c>
      <c r="J89" s="11">
        <v>2929</v>
      </c>
      <c r="K89" s="12" t="s">
        <v>268</v>
      </c>
      <c r="L89" s="16">
        <v>45272</v>
      </c>
      <c r="M89" s="12" t="s">
        <v>269</v>
      </c>
      <c r="N89" s="11" t="s">
        <v>41</v>
      </c>
      <c r="O89" s="25">
        <v>32124700.899999999</v>
      </c>
      <c r="P89" s="2">
        <v>100</v>
      </c>
      <c r="Q89" s="25">
        <v>32124700.899999999</v>
      </c>
      <c r="R89" s="25">
        <v>5687147.9729585899</v>
      </c>
      <c r="S89" s="25">
        <v>0</v>
      </c>
      <c r="T89" s="25">
        <v>86346</v>
      </c>
      <c r="U89" s="25">
        <v>26351206.927041408</v>
      </c>
      <c r="V89" s="18">
        <v>0</v>
      </c>
      <c r="W89" s="13">
        <v>65623</v>
      </c>
      <c r="X89" s="13">
        <v>0</v>
      </c>
      <c r="Y89" s="13">
        <f t="shared" si="1"/>
        <v>0</v>
      </c>
      <c r="Z89" s="13"/>
      <c r="AA89" s="31"/>
      <c r="AB89" s="27"/>
    </row>
    <row r="90" spans="2:28" s="14" customFormat="1">
      <c r="B90" s="11">
        <v>80</v>
      </c>
      <c r="C90" s="12" t="s">
        <v>279</v>
      </c>
      <c r="D90" s="12" t="s">
        <v>266</v>
      </c>
      <c r="E90" s="12" t="s">
        <v>267</v>
      </c>
      <c r="F90" s="29" t="s">
        <v>38</v>
      </c>
      <c r="G90" s="11">
        <v>2023</v>
      </c>
      <c r="H90" s="16">
        <v>45252</v>
      </c>
      <c r="I90" s="16">
        <v>45618</v>
      </c>
      <c r="J90" s="11">
        <v>2929</v>
      </c>
      <c r="K90" s="12" t="s">
        <v>268</v>
      </c>
      <c r="L90" s="16">
        <v>45274</v>
      </c>
      <c r="M90" s="12" t="s">
        <v>269</v>
      </c>
      <c r="N90" s="11" t="s">
        <v>41</v>
      </c>
      <c r="O90" s="25">
        <v>1828835.55</v>
      </c>
      <c r="P90" s="2">
        <v>100</v>
      </c>
      <c r="Q90" s="25">
        <v>1828835.55</v>
      </c>
      <c r="R90" s="25">
        <v>610213.25243127299</v>
      </c>
      <c r="S90" s="25">
        <v>0</v>
      </c>
      <c r="T90" s="25">
        <v>1218621</v>
      </c>
      <c r="U90" s="25">
        <v>1.2975687270518392</v>
      </c>
      <c r="V90" s="18">
        <v>0</v>
      </c>
      <c r="W90" s="13">
        <v>926153</v>
      </c>
      <c r="X90" s="13">
        <v>36576711</v>
      </c>
      <c r="Y90" s="13">
        <f t="shared" si="1"/>
        <v>27798300.359999999</v>
      </c>
      <c r="Z90" s="13"/>
      <c r="AA90" s="31"/>
      <c r="AB90" s="27"/>
    </row>
    <row r="91" spans="2:28" s="14" customFormat="1">
      <c r="B91" s="11">
        <v>81</v>
      </c>
      <c r="C91" s="12" t="s">
        <v>280</v>
      </c>
      <c r="D91" s="12" t="s">
        <v>266</v>
      </c>
      <c r="E91" s="12" t="s">
        <v>267</v>
      </c>
      <c r="F91" s="29" t="s">
        <v>38</v>
      </c>
      <c r="G91" s="11">
        <v>2023</v>
      </c>
      <c r="H91" s="16">
        <v>45252</v>
      </c>
      <c r="I91" s="16">
        <v>45618</v>
      </c>
      <c r="J91" s="11">
        <v>2929</v>
      </c>
      <c r="K91" s="12" t="s">
        <v>268</v>
      </c>
      <c r="L91" s="16">
        <v>45275</v>
      </c>
      <c r="M91" s="12" t="s">
        <v>269</v>
      </c>
      <c r="N91" s="11" t="s">
        <v>41</v>
      </c>
      <c r="O91" s="25">
        <v>68801591.900000006</v>
      </c>
      <c r="P91" s="2">
        <v>100</v>
      </c>
      <c r="Q91" s="25">
        <v>68801591.900000006</v>
      </c>
      <c r="R91" s="25">
        <v>6111177.3993185004</v>
      </c>
      <c r="S91" s="25">
        <v>0</v>
      </c>
      <c r="T91" s="25">
        <v>2696792</v>
      </c>
      <c r="U91" s="25">
        <v>59993622.500681505</v>
      </c>
      <c r="V91" s="18">
        <v>0</v>
      </c>
      <c r="W91" s="13">
        <v>2049562</v>
      </c>
      <c r="X91" s="13">
        <v>0</v>
      </c>
      <c r="Y91" s="13">
        <f t="shared" si="1"/>
        <v>0</v>
      </c>
      <c r="Z91" s="13"/>
      <c r="AA91" s="31"/>
      <c r="AB91" s="27"/>
    </row>
    <row r="92" spans="2:28" s="14" customFormat="1">
      <c r="B92" s="11">
        <v>82</v>
      </c>
      <c r="C92" s="12" t="s">
        <v>281</v>
      </c>
      <c r="D92" s="12" t="s">
        <v>266</v>
      </c>
      <c r="E92" s="12" t="s">
        <v>267</v>
      </c>
      <c r="F92" s="29" t="s">
        <v>38</v>
      </c>
      <c r="G92" s="11">
        <v>2023</v>
      </c>
      <c r="H92" s="16">
        <v>45252</v>
      </c>
      <c r="I92" s="16">
        <v>45618</v>
      </c>
      <c r="J92" s="11">
        <v>2929</v>
      </c>
      <c r="K92" s="12" t="s">
        <v>268</v>
      </c>
      <c r="L92" s="16">
        <v>45283</v>
      </c>
      <c r="M92" s="12" t="s">
        <v>269</v>
      </c>
      <c r="N92" s="11" t="s">
        <v>41</v>
      </c>
      <c r="O92" s="25">
        <v>32124700.899999999</v>
      </c>
      <c r="P92" s="2">
        <v>100</v>
      </c>
      <c r="Q92" s="25">
        <v>32124700.899999999</v>
      </c>
      <c r="R92" s="25">
        <v>5687147.9729585899</v>
      </c>
      <c r="S92" s="25">
        <v>0</v>
      </c>
      <c r="T92" s="25">
        <v>4603000</v>
      </c>
      <c r="U92" s="25">
        <v>21834552.927041408</v>
      </c>
      <c r="V92" s="18">
        <v>0</v>
      </c>
      <c r="W92" s="13">
        <v>3498280</v>
      </c>
      <c r="X92" s="13">
        <v>111863616</v>
      </c>
      <c r="Y92" s="13">
        <f t="shared" si="1"/>
        <v>85016348.159999996</v>
      </c>
      <c r="Z92" s="13"/>
      <c r="AA92" s="31"/>
      <c r="AB92" s="27"/>
    </row>
    <row r="93" spans="2:28" s="14" customFormat="1">
      <c r="B93" s="11">
        <v>83</v>
      </c>
      <c r="C93" s="12" t="s">
        <v>282</v>
      </c>
      <c r="D93" s="12" t="s">
        <v>266</v>
      </c>
      <c r="E93" s="12" t="s">
        <v>267</v>
      </c>
      <c r="F93" s="29" t="s">
        <v>38</v>
      </c>
      <c r="G93" s="11">
        <v>2023</v>
      </c>
      <c r="H93" s="16">
        <v>45252</v>
      </c>
      <c r="I93" s="16">
        <v>45618</v>
      </c>
      <c r="J93" s="11">
        <v>2929</v>
      </c>
      <c r="K93" s="12" t="s">
        <v>268</v>
      </c>
      <c r="L93" s="16">
        <v>45288</v>
      </c>
      <c r="M93" s="12" t="s">
        <v>269</v>
      </c>
      <c r="N93" s="11" t="s">
        <v>41</v>
      </c>
      <c r="O93" s="25">
        <v>32124700.899999999</v>
      </c>
      <c r="P93" s="2">
        <v>100</v>
      </c>
      <c r="Q93" s="25">
        <v>32124700.899999999</v>
      </c>
      <c r="R93" s="25">
        <v>5687147.9729585899</v>
      </c>
      <c r="S93" s="25">
        <v>0</v>
      </c>
      <c r="T93" s="25">
        <v>6026686</v>
      </c>
      <c r="U93" s="25">
        <v>20410866.927041408</v>
      </c>
      <c r="V93" s="18">
        <v>0</v>
      </c>
      <c r="W93" s="13">
        <v>4580281</v>
      </c>
      <c r="X93" s="13">
        <v>0</v>
      </c>
      <c r="Y93" s="13">
        <f t="shared" si="1"/>
        <v>0</v>
      </c>
      <c r="Z93" s="13"/>
      <c r="AA93" s="31"/>
      <c r="AB93" s="27"/>
    </row>
    <row r="94" spans="2:28" s="14" customFormat="1">
      <c r="B94" s="11">
        <v>84</v>
      </c>
      <c r="C94" s="12" t="s">
        <v>283</v>
      </c>
      <c r="D94" s="12" t="s">
        <v>266</v>
      </c>
      <c r="E94" s="12" t="s">
        <v>267</v>
      </c>
      <c r="F94" s="29" t="s">
        <v>38</v>
      </c>
      <c r="G94" s="11">
        <v>2023</v>
      </c>
      <c r="H94" s="16">
        <v>45252</v>
      </c>
      <c r="I94" s="16">
        <v>45618</v>
      </c>
      <c r="J94" s="11">
        <v>2929</v>
      </c>
      <c r="K94" s="12" t="s">
        <v>268</v>
      </c>
      <c r="L94" s="16">
        <v>45288</v>
      </c>
      <c r="M94" s="12" t="s">
        <v>269</v>
      </c>
      <c r="N94" s="11" t="s">
        <v>41</v>
      </c>
      <c r="O94" s="25">
        <v>68801591.900000006</v>
      </c>
      <c r="P94" s="2">
        <v>100</v>
      </c>
      <c r="Q94" s="25">
        <v>68801591.900000006</v>
      </c>
      <c r="R94" s="25">
        <v>6111177.3993185004</v>
      </c>
      <c r="S94" s="25">
        <v>0</v>
      </c>
      <c r="T94" s="25">
        <v>6949054</v>
      </c>
      <c r="U94" s="25">
        <v>55741360.500681505</v>
      </c>
      <c r="V94" s="18">
        <v>0</v>
      </c>
      <c r="W94" s="13">
        <v>5281281</v>
      </c>
      <c r="X94" s="13">
        <v>152529200</v>
      </c>
      <c r="Y94" s="13">
        <f t="shared" si="1"/>
        <v>115922192</v>
      </c>
      <c r="Z94" s="13"/>
      <c r="AA94" s="31"/>
      <c r="AB94" s="27"/>
    </row>
    <row r="95" spans="2:28" s="14" customFormat="1">
      <c r="B95" s="11">
        <v>85</v>
      </c>
      <c r="C95" s="12" t="s">
        <v>284</v>
      </c>
      <c r="D95" s="12" t="s">
        <v>266</v>
      </c>
      <c r="E95" s="12" t="s">
        <v>267</v>
      </c>
      <c r="F95" s="29" t="s">
        <v>38</v>
      </c>
      <c r="G95" s="11">
        <v>2023</v>
      </c>
      <c r="H95" s="16">
        <v>45252</v>
      </c>
      <c r="I95" s="16">
        <v>45618</v>
      </c>
      <c r="J95" s="11">
        <v>2929</v>
      </c>
      <c r="K95" s="12" t="s">
        <v>268</v>
      </c>
      <c r="L95" s="16">
        <v>45288</v>
      </c>
      <c r="M95" s="12" t="s">
        <v>269</v>
      </c>
      <c r="N95" s="11" t="s">
        <v>41</v>
      </c>
      <c r="O95" s="25">
        <v>68801591.900000006</v>
      </c>
      <c r="P95" s="2">
        <v>100</v>
      </c>
      <c r="Q95" s="25">
        <v>68801591.900000006</v>
      </c>
      <c r="R95" s="25">
        <v>6111177.3993185004</v>
      </c>
      <c r="S95" s="25">
        <v>0</v>
      </c>
      <c r="T95" s="25">
        <v>5459414</v>
      </c>
      <c r="U95" s="25">
        <v>57231000.500681505</v>
      </c>
      <c r="V95" s="18">
        <v>0</v>
      </c>
      <c r="W95" s="13">
        <v>4149155</v>
      </c>
      <c r="X95" s="13">
        <v>119832169</v>
      </c>
      <c r="Y95" s="13">
        <f t="shared" si="1"/>
        <v>91072448.439999998</v>
      </c>
      <c r="Z95" s="13"/>
      <c r="AA95" s="31"/>
      <c r="AB95" s="27"/>
    </row>
    <row r="96" spans="2:28" s="14" customFormat="1">
      <c r="B96" s="11">
        <v>86</v>
      </c>
      <c r="C96" s="12" t="s">
        <v>285</v>
      </c>
      <c r="D96" s="12" t="s">
        <v>266</v>
      </c>
      <c r="E96" s="12" t="s">
        <v>267</v>
      </c>
      <c r="F96" s="29" t="s">
        <v>38</v>
      </c>
      <c r="G96" s="11">
        <v>2023</v>
      </c>
      <c r="H96" s="16">
        <v>45252</v>
      </c>
      <c r="I96" s="16">
        <v>45618</v>
      </c>
      <c r="J96" s="11">
        <v>2929</v>
      </c>
      <c r="K96" s="12" t="s">
        <v>268</v>
      </c>
      <c r="L96" s="16">
        <v>45294</v>
      </c>
      <c r="M96" s="12" t="s">
        <v>269</v>
      </c>
      <c r="N96" s="11" t="s">
        <v>41</v>
      </c>
      <c r="O96" s="25">
        <v>68801591.900000006</v>
      </c>
      <c r="P96" s="2">
        <v>100</v>
      </c>
      <c r="Q96" s="25">
        <v>68801591.900000006</v>
      </c>
      <c r="R96" s="25">
        <v>6111177.3993185004</v>
      </c>
      <c r="S96" s="25">
        <v>0</v>
      </c>
      <c r="T96" s="25">
        <v>1488677</v>
      </c>
      <c r="U96" s="25">
        <v>61201737.500681505</v>
      </c>
      <c r="V96" s="18">
        <v>0</v>
      </c>
      <c r="W96" s="13">
        <v>1131394</v>
      </c>
      <c r="X96" s="13">
        <v>0</v>
      </c>
      <c r="Y96" s="13">
        <f t="shared" si="1"/>
        <v>0</v>
      </c>
      <c r="Z96" s="13"/>
      <c r="AA96" s="31"/>
      <c r="AB96" s="27"/>
    </row>
    <row r="97" spans="2:28">
      <c r="B97" s="11">
        <v>87</v>
      </c>
      <c r="C97" s="1" t="s">
        <v>286</v>
      </c>
      <c r="D97" s="1" t="s">
        <v>266</v>
      </c>
      <c r="E97" s="1" t="s">
        <v>267</v>
      </c>
      <c r="F97" s="29" t="s">
        <v>38</v>
      </c>
      <c r="G97" s="11">
        <v>2023</v>
      </c>
      <c r="H97" s="16">
        <v>45252</v>
      </c>
      <c r="I97" s="16">
        <v>45618</v>
      </c>
      <c r="J97" s="11">
        <v>2929</v>
      </c>
      <c r="K97" s="12" t="s">
        <v>268</v>
      </c>
      <c r="L97" s="16">
        <v>45295</v>
      </c>
      <c r="M97" s="12" t="s">
        <v>269</v>
      </c>
      <c r="N97" s="11" t="s">
        <v>41</v>
      </c>
      <c r="O97" s="25">
        <v>68801591.900000006</v>
      </c>
      <c r="P97" s="2">
        <v>100</v>
      </c>
      <c r="Q97" s="25">
        <v>68801591.900000006</v>
      </c>
      <c r="R97" s="25">
        <v>6111177.3993185004</v>
      </c>
      <c r="S97" s="25">
        <v>0</v>
      </c>
      <c r="T97" s="25">
        <v>2642068</v>
      </c>
      <c r="U97" s="25">
        <v>60048346.500681505</v>
      </c>
      <c r="V97" s="18">
        <v>0</v>
      </c>
      <c r="W97" s="13">
        <v>2007972</v>
      </c>
      <c r="X97" s="13">
        <v>0</v>
      </c>
      <c r="Y97" s="13">
        <f t="shared" si="1"/>
        <v>0</v>
      </c>
      <c r="Z97" s="13"/>
      <c r="AA97" s="31"/>
      <c r="AB97" s="27"/>
    </row>
    <row r="98" spans="2:28">
      <c r="B98" s="11">
        <v>88</v>
      </c>
      <c r="C98" s="1" t="s">
        <v>287</v>
      </c>
      <c r="D98" s="1" t="s">
        <v>266</v>
      </c>
      <c r="E98" s="1" t="s">
        <v>267</v>
      </c>
      <c r="F98" s="29" t="s">
        <v>38</v>
      </c>
      <c r="G98" s="11">
        <v>2023</v>
      </c>
      <c r="H98" s="16">
        <v>45252</v>
      </c>
      <c r="I98" s="16">
        <v>45618</v>
      </c>
      <c r="J98" s="11">
        <v>2929</v>
      </c>
      <c r="K98" s="12" t="s">
        <v>268</v>
      </c>
      <c r="L98" s="16">
        <v>45299</v>
      </c>
      <c r="M98" s="12" t="s">
        <v>269</v>
      </c>
      <c r="N98" s="11" t="s">
        <v>41</v>
      </c>
      <c r="O98" s="25">
        <v>9339261.0500000007</v>
      </c>
      <c r="P98" s="2">
        <v>100</v>
      </c>
      <c r="Q98" s="25">
        <v>9339261.0500000007</v>
      </c>
      <c r="R98" s="25">
        <v>3471058.2305626902</v>
      </c>
      <c r="S98" s="25">
        <v>0</v>
      </c>
      <c r="T98" s="25">
        <v>1787321</v>
      </c>
      <c r="U98" s="25">
        <v>4080881.8194373101</v>
      </c>
      <c r="V98" s="18">
        <v>0</v>
      </c>
      <c r="W98" s="13">
        <v>1358365</v>
      </c>
      <c r="X98" s="13">
        <v>0</v>
      </c>
      <c r="Y98" s="13">
        <f t="shared" si="1"/>
        <v>0</v>
      </c>
      <c r="Z98" s="13"/>
      <c r="AA98" s="31"/>
      <c r="AB98" s="27"/>
    </row>
    <row r="99" spans="2:28">
      <c r="B99" s="11">
        <v>89</v>
      </c>
      <c r="C99" s="1" t="s">
        <v>288</v>
      </c>
      <c r="D99" s="1" t="s">
        <v>266</v>
      </c>
      <c r="E99" s="1" t="s">
        <v>267</v>
      </c>
      <c r="F99" s="29" t="s">
        <v>38</v>
      </c>
      <c r="G99" s="11">
        <v>2023</v>
      </c>
      <c r="H99" s="16">
        <v>45252</v>
      </c>
      <c r="I99" s="16">
        <v>45618</v>
      </c>
      <c r="J99" s="11">
        <v>2929</v>
      </c>
      <c r="K99" s="12" t="s">
        <v>268</v>
      </c>
      <c r="L99" s="16">
        <v>45301</v>
      </c>
      <c r="M99" s="12" t="s">
        <v>269</v>
      </c>
      <c r="N99" s="11" t="s">
        <v>41</v>
      </c>
      <c r="O99" s="25">
        <v>2141683.7999999998</v>
      </c>
      <c r="P99" s="2">
        <v>100</v>
      </c>
      <c r="Q99" s="25">
        <v>2141683.7999999998</v>
      </c>
      <c r="R99" s="25">
        <v>174831.330612249</v>
      </c>
      <c r="S99" s="25">
        <v>0</v>
      </c>
      <c r="T99" s="25">
        <v>1966852</v>
      </c>
      <c r="U99" s="25">
        <v>0.46938775083981454</v>
      </c>
      <c r="V99" s="18">
        <v>0</v>
      </c>
      <c r="W99" s="13">
        <v>1494808</v>
      </c>
      <c r="X99" s="13">
        <v>0</v>
      </c>
      <c r="Y99" s="13">
        <f t="shared" si="1"/>
        <v>0</v>
      </c>
      <c r="Z99" s="13"/>
      <c r="AA99" s="31"/>
      <c r="AB99" s="27"/>
    </row>
    <row r="100" spans="2:28">
      <c r="B100" s="11">
        <v>90</v>
      </c>
      <c r="C100" s="1" t="s">
        <v>289</v>
      </c>
      <c r="D100" s="1" t="s">
        <v>266</v>
      </c>
      <c r="E100" s="1" t="s">
        <v>267</v>
      </c>
      <c r="F100" s="29" t="s">
        <v>38</v>
      </c>
      <c r="G100" s="11">
        <v>2023</v>
      </c>
      <c r="H100" s="16">
        <v>45252</v>
      </c>
      <c r="I100" s="16">
        <v>45618</v>
      </c>
      <c r="J100" s="11">
        <v>2929</v>
      </c>
      <c r="K100" s="12" t="s">
        <v>268</v>
      </c>
      <c r="L100" s="16">
        <v>45301</v>
      </c>
      <c r="M100" s="12" t="s">
        <v>269</v>
      </c>
      <c r="N100" s="11" t="s">
        <v>41</v>
      </c>
      <c r="O100" s="25">
        <v>68801591.900000006</v>
      </c>
      <c r="P100" s="2">
        <v>100</v>
      </c>
      <c r="Q100" s="25">
        <v>68801591.900000006</v>
      </c>
      <c r="R100" s="25">
        <v>6111177.3993185004</v>
      </c>
      <c r="S100" s="25">
        <v>0</v>
      </c>
      <c r="T100" s="25">
        <v>6256577</v>
      </c>
      <c r="U100" s="25">
        <v>56433837.500681505</v>
      </c>
      <c r="V100" s="18">
        <v>0</v>
      </c>
      <c r="W100" s="13">
        <v>4754998</v>
      </c>
      <c r="X100" s="13">
        <v>137329590</v>
      </c>
      <c r="Y100" s="13">
        <f t="shared" si="1"/>
        <v>104370488.40000001</v>
      </c>
      <c r="Z100" s="13"/>
      <c r="AA100" s="31"/>
      <c r="AB100" s="27"/>
    </row>
    <row r="101" spans="2:28">
      <c r="B101" s="11">
        <v>91</v>
      </c>
      <c r="C101" s="1" t="s">
        <v>290</v>
      </c>
      <c r="D101" s="1" t="s">
        <v>266</v>
      </c>
      <c r="E101" s="1" t="s">
        <v>267</v>
      </c>
      <c r="F101" s="29" t="s">
        <v>38</v>
      </c>
      <c r="G101" s="11">
        <v>2023</v>
      </c>
      <c r="H101" s="16">
        <v>45252</v>
      </c>
      <c r="I101" s="16">
        <v>45618</v>
      </c>
      <c r="J101" s="11">
        <v>2929</v>
      </c>
      <c r="K101" s="12" t="s">
        <v>268</v>
      </c>
      <c r="L101" s="16">
        <v>45301</v>
      </c>
      <c r="M101" s="12" t="s">
        <v>269</v>
      </c>
      <c r="N101" s="11" t="s">
        <v>41</v>
      </c>
      <c r="O101" s="25">
        <v>68801591.900000006</v>
      </c>
      <c r="P101" s="2">
        <v>100</v>
      </c>
      <c r="Q101" s="25">
        <v>68801591.900000006</v>
      </c>
      <c r="R101" s="25">
        <v>6111177.3993185004</v>
      </c>
      <c r="S101" s="25">
        <v>0</v>
      </c>
      <c r="T101" s="25">
        <v>2626223</v>
      </c>
      <c r="U101" s="25">
        <v>60064191.500681505</v>
      </c>
      <c r="V101" s="18">
        <v>0</v>
      </c>
      <c r="W101" s="13">
        <v>1995930</v>
      </c>
      <c r="X101" s="13">
        <v>0</v>
      </c>
      <c r="Y101" s="13">
        <f t="shared" si="1"/>
        <v>0</v>
      </c>
      <c r="Z101" s="13"/>
      <c r="AA101" s="31"/>
      <c r="AB101" s="27"/>
    </row>
    <row r="102" spans="2:28">
      <c r="B102" s="11">
        <v>92</v>
      </c>
      <c r="C102" s="1" t="s">
        <v>291</v>
      </c>
      <c r="D102" s="1" t="s">
        <v>266</v>
      </c>
      <c r="E102" s="1" t="s">
        <v>267</v>
      </c>
      <c r="F102" s="29" t="s">
        <v>38</v>
      </c>
      <c r="G102" s="11">
        <v>2023</v>
      </c>
      <c r="H102" s="16">
        <v>45252</v>
      </c>
      <c r="I102" s="16">
        <v>45618</v>
      </c>
      <c r="J102" s="11">
        <v>2929</v>
      </c>
      <c r="K102" s="12" t="s">
        <v>268</v>
      </c>
      <c r="L102" s="16">
        <v>45301</v>
      </c>
      <c r="M102" s="12" t="s">
        <v>269</v>
      </c>
      <c r="N102" s="11" t="s">
        <v>41</v>
      </c>
      <c r="O102" s="25">
        <v>68801591.900000006</v>
      </c>
      <c r="P102" s="2">
        <v>100</v>
      </c>
      <c r="Q102" s="25">
        <v>68801591.900000006</v>
      </c>
      <c r="R102" s="25">
        <v>6111177.3993185004</v>
      </c>
      <c r="S102" s="25">
        <v>0</v>
      </c>
      <c r="T102" s="25">
        <v>3196758</v>
      </c>
      <c r="U102" s="25">
        <v>59493656.500681505</v>
      </c>
      <c r="V102" s="18">
        <v>0</v>
      </c>
      <c r="W102" s="13">
        <v>2429536</v>
      </c>
      <c r="X102" s="13">
        <v>0</v>
      </c>
      <c r="Y102" s="13">
        <f t="shared" si="1"/>
        <v>0</v>
      </c>
      <c r="Z102" s="13"/>
      <c r="AA102" s="31"/>
      <c r="AB102" s="27"/>
    </row>
    <row r="103" spans="2:28">
      <c r="B103" s="11">
        <v>93</v>
      </c>
      <c r="C103" s="1" t="s">
        <v>292</v>
      </c>
      <c r="D103" s="1" t="s">
        <v>266</v>
      </c>
      <c r="E103" s="1" t="s">
        <v>267</v>
      </c>
      <c r="F103" s="29" t="s">
        <v>38</v>
      </c>
      <c r="G103" s="11">
        <v>2023</v>
      </c>
      <c r="H103" s="16">
        <v>45252</v>
      </c>
      <c r="I103" s="16">
        <v>45618</v>
      </c>
      <c r="J103" s="11">
        <v>2929</v>
      </c>
      <c r="K103" s="12" t="s">
        <v>268</v>
      </c>
      <c r="L103" s="16">
        <v>45304</v>
      </c>
      <c r="M103" s="12" t="s">
        <v>269</v>
      </c>
      <c r="N103" s="11" t="s">
        <v>41</v>
      </c>
      <c r="O103" s="28">
        <v>32124700.899999999</v>
      </c>
      <c r="P103" s="2">
        <v>100</v>
      </c>
      <c r="Q103" s="25">
        <v>32124700.899999999</v>
      </c>
      <c r="R103" s="25">
        <v>5687147.9729585899</v>
      </c>
      <c r="S103" s="25">
        <v>0</v>
      </c>
      <c r="T103" s="25">
        <v>3041491</v>
      </c>
      <c r="U103" s="25">
        <v>23396061.927041408</v>
      </c>
      <c r="V103" s="18">
        <v>0</v>
      </c>
      <c r="W103" s="13">
        <v>2311533</v>
      </c>
      <c r="X103" s="13">
        <v>73915294</v>
      </c>
      <c r="Y103" s="13">
        <f t="shared" si="1"/>
        <v>56175623.439999998</v>
      </c>
      <c r="Z103" s="13"/>
      <c r="AA103" s="31"/>
      <c r="AB103" s="27"/>
    </row>
    <row r="104" spans="2:28">
      <c r="B104" s="11">
        <v>94</v>
      </c>
      <c r="C104" s="1" t="s">
        <v>293</v>
      </c>
      <c r="D104" s="1" t="s">
        <v>266</v>
      </c>
      <c r="E104" s="1" t="s">
        <v>267</v>
      </c>
      <c r="F104" s="29" t="s">
        <v>38</v>
      </c>
      <c r="G104" s="11">
        <v>2023</v>
      </c>
      <c r="H104" s="16">
        <v>45252</v>
      </c>
      <c r="I104" s="16">
        <v>45618</v>
      </c>
      <c r="J104" s="11">
        <v>2929</v>
      </c>
      <c r="K104" s="12" t="s">
        <v>268</v>
      </c>
      <c r="L104" s="16">
        <v>45312</v>
      </c>
      <c r="M104" s="12" t="s">
        <v>269</v>
      </c>
      <c r="N104" s="11" t="s">
        <v>41</v>
      </c>
      <c r="O104" s="28">
        <v>10526667.65</v>
      </c>
      <c r="P104" s="2">
        <v>100</v>
      </c>
      <c r="Q104" s="25">
        <v>10526667.65</v>
      </c>
      <c r="R104" s="28">
        <v>1581069.0678453101</v>
      </c>
      <c r="S104" s="28">
        <v>0</v>
      </c>
      <c r="T104" s="28">
        <v>3164787</v>
      </c>
      <c r="U104" s="25">
        <v>5780811.5821546912</v>
      </c>
      <c r="V104" s="18">
        <v>0</v>
      </c>
      <c r="W104" s="18">
        <v>2405238</v>
      </c>
      <c r="X104" s="13">
        <v>0</v>
      </c>
      <c r="Y104" s="13">
        <f t="shared" si="1"/>
        <v>0</v>
      </c>
      <c r="Z104" s="13"/>
      <c r="AA104" s="31"/>
      <c r="AB104" s="27"/>
    </row>
    <row r="105" spans="2:28">
      <c r="B105" s="11">
        <v>95</v>
      </c>
      <c r="C105" s="1" t="s">
        <v>294</v>
      </c>
      <c r="D105" s="1" t="s">
        <v>266</v>
      </c>
      <c r="E105" s="1" t="s">
        <v>267</v>
      </c>
      <c r="F105" s="29" t="s">
        <v>38</v>
      </c>
      <c r="G105" s="11">
        <v>2023</v>
      </c>
      <c r="H105" s="16">
        <v>45252</v>
      </c>
      <c r="I105" s="16">
        <v>45618</v>
      </c>
      <c r="J105" s="11">
        <v>2929</v>
      </c>
      <c r="K105" s="12" t="s">
        <v>268</v>
      </c>
      <c r="L105" s="16">
        <v>45316</v>
      </c>
      <c r="M105" s="12" t="s">
        <v>269</v>
      </c>
      <c r="N105" s="11" t="s">
        <v>41</v>
      </c>
      <c r="O105" s="28">
        <v>68801591.900000006</v>
      </c>
      <c r="P105" s="2">
        <v>100</v>
      </c>
      <c r="Q105" s="25">
        <v>68801591.900000006</v>
      </c>
      <c r="R105" s="28">
        <v>6111177.3993185004</v>
      </c>
      <c r="S105" s="28">
        <v>0</v>
      </c>
      <c r="T105" s="28">
        <v>3288385</v>
      </c>
      <c r="U105" s="25">
        <v>59402029.500681505</v>
      </c>
      <c r="V105" s="18">
        <v>0</v>
      </c>
      <c r="W105" s="18">
        <v>2499172</v>
      </c>
      <c r="X105" s="13">
        <v>0</v>
      </c>
      <c r="Y105" s="13">
        <f t="shared" si="1"/>
        <v>0</v>
      </c>
      <c r="Z105" s="13"/>
      <c r="AA105" s="31"/>
      <c r="AB105" s="27"/>
    </row>
    <row r="106" spans="2:28">
      <c r="B106" s="11">
        <v>96</v>
      </c>
      <c r="C106" s="1" t="s">
        <v>295</v>
      </c>
      <c r="D106" s="1" t="s">
        <v>266</v>
      </c>
      <c r="E106" s="1" t="s">
        <v>267</v>
      </c>
      <c r="F106" s="29" t="s">
        <v>38</v>
      </c>
      <c r="G106" s="11">
        <v>2023</v>
      </c>
      <c r="H106" s="16">
        <v>45252</v>
      </c>
      <c r="I106" s="16">
        <v>45618</v>
      </c>
      <c r="J106" s="11">
        <v>2929</v>
      </c>
      <c r="K106" s="12" t="s">
        <v>268</v>
      </c>
      <c r="L106" s="16">
        <v>45321</v>
      </c>
      <c r="M106" s="12" t="s">
        <v>269</v>
      </c>
      <c r="N106" s="11" t="s">
        <v>41</v>
      </c>
      <c r="O106" s="25">
        <v>68801591.900000006</v>
      </c>
      <c r="P106" s="2">
        <v>100</v>
      </c>
      <c r="Q106" s="25">
        <v>68801591.900000006</v>
      </c>
      <c r="R106" s="25">
        <v>6111177.3993185004</v>
      </c>
      <c r="S106" s="25">
        <v>0</v>
      </c>
      <c r="T106" s="25">
        <v>2400353</v>
      </c>
      <c r="U106" s="25">
        <v>60290061.500681505</v>
      </c>
      <c r="V106" s="18">
        <v>0</v>
      </c>
      <c r="W106" s="13">
        <v>1824268</v>
      </c>
      <c r="X106" s="13">
        <v>0</v>
      </c>
      <c r="Y106" s="13">
        <f t="shared" si="1"/>
        <v>0</v>
      </c>
      <c r="Z106" s="13"/>
      <c r="AA106" s="31"/>
      <c r="AB106" s="27"/>
    </row>
    <row r="107" spans="2:28">
      <c r="B107" s="11">
        <v>97</v>
      </c>
      <c r="C107" s="1" t="s">
        <v>296</v>
      </c>
      <c r="D107" s="1" t="s">
        <v>266</v>
      </c>
      <c r="E107" s="1" t="s">
        <v>267</v>
      </c>
      <c r="F107" s="29" t="s">
        <v>38</v>
      </c>
      <c r="G107" s="11">
        <v>2023</v>
      </c>
      <c r="H107" s="16">
        <v>45252</v>
      </c>
      <c r="I107" s="16">
        <v>45618</v>
      </c>
      <c r="J107" s="11">
        <v>2929</v>
      </c>
      <c r="K107" s="12" t="s">
        <v>268</v>
      </c>
      <c r="L107" s="16">
        <v>45322</v>
      </c>
      <c r="M107" s="12" t="s">
        <v>269</v>
      </c>
      <c r="N107" s="11" t="s">
        <v>41</v>
      </c>
      <c r="O107" s="28">
        <v>68801591.900000006</v>
      </c>
      <c r="P107" s="2">
        <v>100</v>
      </c>
      <c r="Q107" s="25">
        <v>68801591.900000006</v>
      </c>
      <c r="R107" s="28">
        <v>6111177.3993185004</v>
      </c>
      <c r="S107" s="28">
        <v>0</v>
      </c>
      <c r="T107" s="28">
        <v>2810915</v>
      </c>
      <c r="U107" s="25">
        <v>59879499.500681505</v>
      </c>
      <c r="V107" s="18">
        <v>0</v>
      </c>
      <c r="W107" s="18">
        <v>2136296</v>
      </c>
      <c r="X107" s="13">
        <v>0</v>
      </c>
      <c r="Y107" s="13">
        <f t="shared" si="1"/>
        <v>0</v>
      </c>
      <c r="Z107" s="13"/>
      <c r="AA107" s="31"/>
      <c r="AB107" s="27"/>
    </row>
    <row r="108" spans="2:28">
      <c r="B108" s="11">
        <v>98</v>
      </c>
      <c r="C108" s="1" t="s">
        <v>297</v>
      </c>
      <c r="D108" s="1" t="s">
        <v>266</v>
      </c>
      <c r="E108" s="1" t="s">
        <v>267</v>
      </c>
      <c r="F108" s="29" t="s">
        <v>38</v>
      </c>
      <c r="G108" s="11">
        <v>2023</v>
      </c>
      <c r="H108" s="16">
        <v>45252</v>
      </c>
      <c r="I108" s="16">
        <v>45618</v>
      </c>
      <c r="J108" s="11">
        <v>2929</v>
      </c>
      <c r="K108" s="12" t="s">
        <v>268</v>
      </c>
      <c r="L108" s="16">
        <v>45322</v>
      </c>
      <c r="M108" s="12" t="s">
        <v>269</v>
      </c>
      <c r="N108" s="11" t="s">
        <v>41</v>
      </c>
      <c r="O108" s="25">
        <v>68801591.900000006</v>
      </c>
      <c r="P108" s="2">
        <v>100</v>
      </c>
      <c r="Q108" s="25">
        <v>68801591.900000006</v>
      </c>
      <c r="R108" s="25">
        <v>6111177.3993185004</v>
      </c>
      <c r="S108" s="25">
        <v>0</v>
      </c>
      <c r="T108" s="25">
        <v>2154598</v>
      </c>
      <c r="U108" s="25">
        <v>60535816.500681505</v>
      </c>
      <c r="V108" s="18">
        <v>0</v>
      </c>
      <c r="W108" s="13">
        <v>1637494</v>
      </c>
      <c r="X108" s="13">
        <v>0</v>
      </c>
      <c r="Y108" s="13">
        <f t="shared" si="1"/>
        <v>0</v>
      </c>
      <c r="Z108" s="13"/>
      <c r="AA108" s="31"/>
      <c r="AB108" s="27"/>
    </row>
    <row r="109" spans="2:28">
      <c r="B109" s="11">
        <v>99</v>
      </c>
      <c r="C109" s="1" t="s">
        <v>298</v>
      </c>
      <c r="D109" s="1" t="s">
        <v>266</v>
      </c>
      <c r="E109" s="1" t="s">
        <v>267</v>
      </c>
      <c r="F109" s="29" t="s">
        <v>38</v>
      </c>
      <c r="G109" s="11">
        <v>2023</v>
      </c>
      <c r="H109" s="16">
        <v>45252</v>
      </c>
      <c r="I109" s="16">
        <v>45618</v>
      </c>
      <c r="J109" s="11">
        <v>2929</v>
      </c>
      <c r="K109" s="12" t="s">
        <v>268</v>
      </c>
      <c r="L109" s="16">
        <v>45299</v>
      </c>
      <c r="M109" s="12" t="s">
        <v>269</v>
      </c>
      <c r="N109" s="11" t="s">
        <v>41</v>
      </c>
      <c r="O109" s="25">
        <v>68801591.900000006</v>
      </c>
      <c r="P109" s="2">
        <v>100</v>
      </c>
      <c r="Q109" s="25">
        <v>68801591.900000006</v>
      </c>
      <c r="R109" s="25">
        <v>6111177.3993185004</v>
      </c>
      <c r="S109" s="25">
        <v>0</v>
      </c>
      <c r="T109" s="25">
        <v>2266599</v>
      </c>
      <c r="U109" s="25">
        <v>60423815.500681505</v>
      </c>
      <c r="V109" s="18">
        <v>0</v>
      </c>
      <c r="W109" s="13">
        <v>1722615</v>
      </c>
      <c r="X109" s="13">
        <v>0</v>
      </c>
      <c r="Y109" s="13">
        <f t="shared" si="1"/>
        <v>0</v>
      </c>
      <c r="Z109" s="13"/>
      <c r="AA109" s="31"/>
      <c r="AB109" s="27"/>
    </row>
    <row r="110" spans="2:28">
      <c r="B110" s="11">
        <v>100</v>
      </c>
      <c r="C110" s="1" t="s">
        <v>299</v>
      </c>
      <c r="D110" s="1" t="s">
        <v>266</v>
      </c>
      <c r="E110" s="1" t="s">
        <v>267</v>
      </c>
      <c r="F110" s="29" t="s">
        <v>38</v>
      </c>
      <c r="G110" s="11">
        <v>2023</v>
      </c>
      <c r="H110" s="16">
        <v>45252</v>
      </c>
      <c r="I110" s="16">
        <v>45618</v>
      </c>
      <c r="J110" s="11">
        <v>2929</v>
      </c>
      <c r="K110" s="12" t="s">
        <v>268</v>
      </c>
      <c r="L110" s="16">
        <v>45346</v>
      </c>
      <c r="M110" s="12" t="s">
        <v>269</v>
      </c>
      <c r="N110" s="11" t="s">
        <v>41</v>
      </c>
      <c r="O110" s="25">
        <v>8187144</v>
      </c>
      <c r="P110" s="2">
        <v>100</v>
      </c>
      <c r="Q110" s="25">
        <v>8187144</v>
      </c>
      <c r="R110" s="25">
        <v>3929492.5844531199</v>
      </c>
      <c r="S110" s="25">
        <v>0</v>
      </c>
      <c r="T110" s="25">
        <v>4257651</v>
      </c>
      <c r="U110" s="25">
        <v>0.41554688010364771</v>
      </c>
      <c r="V110" s="18">
        <v>0</v>
      </c>
      <c r="W110" s="13">
        <v>3235815</v>
      </c>
      <c r="X110" s="13">
        <v>163742880</v>
      </c>
      <c r="Y110" s="13">
        <f t="shared" si="1"/>
        <v>124444588.8</v>
      </c>
      <c r="Z110" s="13"/>
      <c r="AA110" s="31"/>
      <c r="AB110" s="27"/>
    </row>
    <row r="111" spans="2:28">
      <c r="B111" s="11">
        <v>101</v>
      </c>
      <c r="C111" s="1" t="s">
        <v>300</v>
      </c>
      <c r="D111" s="1" t="s">
        <v>266</v>
      </c>
      <c r="E111" s="1" t="s">
        <v>267</v>
      </c>
      <c r="F111" s="29" t="s">
        <v>38</v>
      </c>
      <c r="G111" s="11">
        <v>2023</v>
      </c>
      <c r="H111" s="16">
        <v>45252</v>
      </c>
      <c r="I111" s="16">
        <v>45618</v>
      </c>
      <c r="J111" s="11">
        <v>2929</v>
      </c>
      <c r="K111" s="12" t="s">
        <v>268</v>
      </c>
      <c r="L111" s="16">
        <v>45351</v>
      </c>
      <c r="M111" s="12" t="s">
        <v>269</v>
      </c>
      <c r="N111" s="11" t="s">
        <v>41</v>
      </c>
      <c r="O111" s="25">
        <v>9339261.0500000007</v>
      </c>
      <c r="P111" s="2">
        <v>100</v>
      </c>
      <c r="Q111" s="25">
        <v>9339261.0500000007</v>
      </c>
      <c r="R111" s="25">
        <v>3471058.2305626902</v>
      </c>
      <c r="S111" s="25">
        <v>0</v>
      </c>
      <c r="T111" s="25">
        <v>2526944</v>
      </c>
      <c r="U111" s="25">
        <v>3341258.8194373101</v>
      </c>
      <c r="V111" s="18">
        <v>0</v>
      </c>
      <c r="W111" s="13">
        <v>1920477</v>
      </c>
      <c r="X111" s="13">
        <v>0</v>
      </c>
      <c r="Y111" s="13">
        <f t="shared" si="1"/>
        <v>0</v>
      </c>
      <c r="Z111" s="13"/>
      <c r="AA111" s="31"/>
      <c r="AB111" s="27"/>
    </row>
    <row r="112" spans="2:28">
      <c r="B112" s="11">
        <v>102</v>
      </c>
      <c r="C112" s="1" t="s">
        <v>301</v>
      </c>
      <c r="D112" s="1" t="s">
        <v>266</v>
      </c>
      <c r="E112" s="1" t="s">
        <v>267</v>
      </c>
      <c r="F112" s="29" t="s">
        <v>38</v>
      </c>
      <c r="G112" s="11">
        <v>2023</v>
      </c>
      <c r="H112" s="16">
        <v>45252</v>
      </c>
      <c r="I112" s="16">
        <v>45618</v>
      </c>
      <c r="J112" s="11">
        <v>2929</v>
      </c>
      <c r="K112" s="12" t="s">
        <v>268</v>
      </c>
      <c r="L112" s="16">
        <v>45364</v>
      </c>
      <c r="M112" s="12" t="s">
        <v>269</v>
      </c>
      <c r="N112" s="11" t="s">
        <v>41</v>
      </c>
      <c r="O112" s="25">
        <v>32124700.899999999</v>
      </c>
      <c r="P112" s="2">
        <v>100</v>
      </c>
      <c r="Q112" s="25">
        <v>32124700.899999999</v>
      </c>
      <c r="R112" s="25">
        <v>5687147.9729585899</v>
      </c>
      <c r="S112" s="25">
        <v>0</v>
      </c>
      <c r="T112" s="25">
        <v>6537441</v>
      </c>
      <c r="U112" s="25">
        <v>19900111.927041408</v>
      </c>
      <c r="V112" s="18">
        <v>0</v>
      </c>
      <c r="W112" s="13">
        <v>4968455</v>
      </c>
      <c r="X112" s="13">
        <v>158875004</v>
      </c>
      <c r="Y112" s="13">
        <f t="shared" si="1"/>
        <v>120745003.04000001</v>
      </c>
      <c r="Z112" s="13"/>
      <c r="AA112" s="31"/>
      <c r="AB112" s="27"/>
    </row>
    <row r="113" spans="2:28">
      <c r="B113" s="11">
        <v>103</v>
      </c>
      <c r="C113" s="1" t="s">
        <v>302</v>
      </c>
      <c r="D113" s="1" t="s">
        <v>266</v>
      </c>
      <c r="E113" s="1" t="s">
        <v>267</v>
      </c>
      <c r="F113" s="29" t="s">
        <v>38</v>
      </c>
      <c r="G113" s="11">
        <v>2023</v>
      </c>
      <c r="H113" s="16">
        <v>45252</v>
      </c>
      <c r="I113" s="16">
        <v>45618</v>
      </c>
      <c r="J113" s="11">
        <v>2929</v>
      </c>
      <c r="K113" s="12" t="s">
        <v>268</v>
      </c>
      <c r="L113" s="16">
        <v>45372</v>
      </c>
      <c r="M113" s="12" t="s">
        <v>269</v>
      </c>
      <c r="N113" s="11" t="s">
        <v>41</v>
      </c>
      <c r="O113" s="28">
        <v>68801591.900000006</v>
      </c>
      <c r="P113" s="2">
        <v>100</v>
      </c>
      <c r="Q113" s="25">
        <v>68801591.900000006</v>
      </c>
      <c r="R113" s="28">
        <v>6111177.3993185004</v>
      </c>
      <c r="S113" s="28">
        <v>0</v>
      </c>
      <c r="T113" s="28">
        <v>2452889</v>
      </c>
      <c r="U113" s="25">
        <v>60237525.500681505</v>
      </c>
      <c r="V113" s="18">
        <v>0</v>
      </c>
      <c r="W113" s="18">
        <v>1864195</v>
      </c>
      <c r="X113" s="13">
        <v>0</v>
      </c>
      <c r="Y113" s="13">
        <f t="shared" si="1"/>
        <v>0</v>
      </c>
      <c r="Z113" s="13"/>
      <c r="AA113" s="31"/>
      <c r="AB113" s="27"/>
    </row>
    <row r="114" spans="2:28">
      <c r="B114" s="11">
        <v>104</v>
      </c>
      <c r="C114" s="1" t="s">
        <v>303</v>
      </c>
      <c r="D114" s="1" t="s">
        <v>266</v>
      </c>
      <c r="E114" s="1" t="s">
        <v>267</v>
      </c>
      <c r="F114" s="29" t="s">
        <v>38</v>
      </c>
      <c r="G114" s="11">
        <v>2023</v>
      </c>
      <c r="H114" s="16">
        <v>45252</v>
      </c>
      <c r="I114" s="16">
        <v>45618</v>
      </c>
      <c r="J114" s="11">
        <v>2929</v>
      </c>
      <c r="K114" s="12" t="s">
        <v>268</v>
      </c>
      <c r="L114" s="16">
        <v>45377</v>
      </c>
      <c r="M114" s="12" t="s">
        <v>269</v>
      </c>
      <c r="N114" s="11" t="s">
        <v>41</v>
      </c>
      <c r="O114" s="28">
        <v>2737600.8</v>
      </c>
      <c r="P114" s="2">
        <v>100</v>
      </c>
      <c r="Q114" s="25">
        <v>2737600.8</v>
      </c>
      <c r="R114" s="28">
        <v>1204902.3691668301</v>
      </c>
      <c r="S114" s="28">
        <v>0</v>
      </c>
      <c r="T114" s="28">
        <v>764642</v>
      </c>
      <c r="U114" s="25">
        <v>768056.43083316972</v>
      </c>
      <c r="V114" s="18">
        <v>0</v>
      </c>
      <c r="W114" s="18">
        <v>581128</v>
      </c>
      <c r="X114" s="13">
        <v>0</v>
      </c>
      <c r="Y114" s="13">
        <f t="shared" si="1"/>
        <v>0</v>
      </c>
      <c r="Z114" s="13"/>
      <c r="AA114" s="31"/>
      <c r="AB114" s="27"/>
    </row>
    <row r="115" spans="2:28">
      <c r="B115" s="11">
        <v>105</v>
      </c>
      <c r="C115" s="1" t="s">
        <v>304</v>
      </c>
      <c r="D115" s="1" t="s">
        <v>266</v>
      </c>
      <c r="E115" s="1" t="s">
        <v>267</v>
      </c>
      <c r="F115" s="29" t="s">
        <v>38</v>
      </c>
      <c r="G115" s="11">
        <v>2023</v>
      </c>
      <c r="H115" s="16">
        <v>45252</v>
      </c>
      <c r="I115" s="16">
        <v>45618</v>
      </c>
      <c r="J115" s="11">
        <v>2929</v>
      </c>
      <c r="K115" s="12" t="s">
        <v>268</v>
      </c>
      <c r="L115" s="16">
        <v>45383</v>
      </c>
      <c r="M115" s="12" t="s">
        <v>269</v>
      </c>
      <c r="N115" s="11" t="s">
        <v>41</v>
      </c>
      <c r="O115" s="28">
        <v>5409342.1500000004</v>
      </c>
      <c r="P115" s="2">
        <v>100</v>
      </c>
      <c r="Q115" s="25">
        <v>5409342.1500000004</v>
      </c>
      <c r="R115" s="25">
        <v>2911338.9290877902</v>
      </c>
      <c r="S115" s="25">
        <v>0</v>
      </c>
      <c r="T115" s="25">
        <v>2498003</v>
      </c>
      <c r="U115" s="25">
        <v>0.22091221017763019</v>
      </c>
      <c r="V115" s="18">
        <v>0</v>
      </c>
      <c r="W115" s="13">
        <v>1898482</v>
      </c>
      <c r="X115" s="13">
        <v>108186843</v>
      </c>
      <c r="Y115" s="13">
        <f t="shared" si="1"/>
        <v>82222000.680000007</v>
      </c>
      <c r="Z115" s="13"/>
      <c r="AA115" s="31"/>
      <c r="AB115" s="27"/>
    </row>
    <row r="116" spans="2:28">
      <c r="B116" s="11">
        <v>106</v>
      </c>
      <c r="C116" s="1" t="s">
        <v>305</v>
      </c>
      <c r="D116" s="1" t="s">
        <v>266</v>
      </c>
      <c r="E116" s="1" t="s">
        <v>267</v>
      </c>
      <c r="F116" s="29" t="s">
        <v>38</v>
      </c>
      <c r="G116" s="11">
        <v>2023</v>
      </c>
      <c r="H116" s="16">
        <v>45252</v>
      </c>
      <c r="I116" s="16">
        <v>45618</v>
      </c>
      <c r="J116" s="11">
        <v>2929</v>
      </c>
      <c r="K116" s="12" t="s">
        <v>268</v>
      </c>
      <c r="L116" s="16">
        <v>45386</v>
      </c>
      <c r="M116" s="12" t="s">
        <v>269</v>
      </c>
      <c r="N116" s="11" t="s">
        <v>41</v>
      </c>
      <c r="O116" s="28">
        <v>68801591.900000006</v>
      </c>
      <c r="P116" s="2">
        <v>100</v>
      </c>
      <c r="Q116" s="25">
        <v>68801591.900000006</v>
      </c>
      <c r="R116" s="28">
        <v>6111177.3993185004</v>
      </c>
      <c r="S116" s="28">
        <v>0</v>
      </c>
      <c r="T116" s="28">
        <v>2614123</v>
      </c>
      <c r="U116" s="25">
        <v>60076291.500681505</v>
      </c>
      <c r="V116" s="18">
        <v>0</v>
      </c>
      <c r="W116" s="18">
        <v>1986734</v>
      </c>
      <c r="X116" s="13">
        <v>0</v>
      </c>
      <c r="Y116" s="13">
        <f t="shared" si="1"/>
        <v>0</v>
      </c>
      <c r="Z116" s="13"/>
      <c r="AA116" s="31"/>
      <c r="AB116" s="27"/>
    </row>
    <row r="117" spans="2:28">
      <c r="B117" s="11">
        <v>107</v>
      </c>
      <c r="C117" s="1" t="s">
        <v>306</v>
      </c>
      <c r="D117" s="1" t="s">
        <v>266</v>
      </c>
      <c r="E117" s="1" t="s">
        <v>267</v>
      </c>
      <c r="F117" s="29" t="s">
        <v>38</v>
      </c>
      <c r="G117" s="11">
        <v>2023</v>
      </c>
      <c r="H117" s="16">
        <v>45252</v>
      </c>
      <c r="I117" s="16">
        <v>45618</v>
      </c>
      <c r="J117" s="11">
        <v>2929</v>
      </c>
      <c r="K117" s="12" t="s">
        <v>268</v>
      </c>
      <c r="L117" s="16">
        <v>45400</v>
      </c>
      <c r="M117" s="12" t="s">
        <v>269</v>
      </c>
      <c r="N117" s="11" t="s">
        <v>41</v>
      </c>
      <c r="O117" s="28">
        <v>2737600.8</v>
      </c>
      <c r="P117" s="2">
        <v>100</v>
      </c>
      <c r="Q117" s="25">
        <v>2737600.8</v>
      </c>
      <c r="R117" s="25">
        <v>1204902.3691668301</v>
      </c>
      <c r="S117" s="25">
        <v>0</v>
      </c>
      <c r="T117" s="25">
        <v>768056</v>
      </c>
      <c r="U117" s="25">
        <v>764642.43083316972</v>
      </c>
      <c r="V117" s="18">
        <v>0</v>
      </c>
      <c r="W117" s="13">
        <v>583723</v>
      </c>
      <c r="X117" s="13">
        <v>0</v>
      </c>
      <c r="Y117" s="13">
        <f t="shared" si="1"/>
        <v>0</v>
      </c>
      <c r="Z117" s="13"/>
      <c r="AA117" s="31"/>
      <c r="AB117" s="27"/>
    </row>
    <row r="118" spans="2:28">
      <c r="B118" s="11">
        <v>108</v>
      </c>
      <c r="C118" s="1" t="s">
        <v>307</v>
      </c>
      <c r="D118" s="1" t="s">
        <v>266</v>
      </c>
      <c r="E118" s="1" t="s">
        <v>267</v>
      </c>
      <c r="F118" s="29" t="s">
        <v>38</v>
      </c>
      <c r="G118" s="11">
        <v>2023</v>
      </c>
      <c r="H118" s="16">
        <v>45252</v>
      </c>
      <c r="I118" s="16">
        <v>45618</v>
      </c>
      <c r="J118" s="11">
        <v>2929</v>
      </c>
      <c r="K118" s="12" t="s">
        <v>268</v>
      </c>
      <c r="L118" s="16">
        <v>45439</v>
      </c>
      <c r="M118" s="12" t="s">
        <v>269</v>
      </c>
      <c r="N118" s="11" t="s">
        <v>41</v>
      </c>
      <c r="O118" s="25">
        <v>9339261.0500000007</v>
      </c>
      <c r="P118" s="2">
        <v>100</v>
      </c>
      <c r="Q118" s="25">
        <v>9339261.0500000007</v>
      </c>
      <c r="R118" s="25">
        <v>3471058.2305626902</v>
      </c>
      <c r="S118" s="25">
        <v>0</v>
      </c>
      <c r="T118" s="25">
        <v>36987</v>
      </c>
      <c r="U118" s="25">
        <v>5831215.8194373101</v>
      </c>
      <c r="V118" s="18">
        <v>0</v>
      </c>
      <c r="W118" s="13">
        <v>28110</v>
      </c>
      <c r="X118" s="13">
        <v>0</v>
      </c>
      <c r="Y118" s="13">
        <f t="shared" si="1"/>
        <v>0</v>
      </c>
      <c r="Z118" s="13"/>
      <c r="AA118" s="31"/>
      <c r="AB118" s="27"/>
    </row>
    <row r="119" spans="2:28">
      <c r="B119" s="11">
        <v>109</v>
      </c>
      <c r="C119" s="1" t="s">
        <v>308</v>
      </c>
      <c r="D119" s="1" t="s">
        <v>266</v>
      </c>
      <c r="E119" s="1" t="s">
        <v>267</v>
      </c>
      <c r="F119" s="29" t="s">
        <v>38</v>
      </c>
      <c r="G119" s="11">
        <v>2023</v>
      </c>
      <c r="H119" s="16">
        <v>45252</v>
      </c>
      <c r="I119" s="16">
        <v>45618</v>
      </c>
      <c r="J119" s="11">
        <v>2929</v>
      </c>
      <c r="K119" s="12" t="s">
        <v>268</v>
      </c>
      <c r="L119" s="16">
        <v>45449</v>
      </c>
      <c r="M119" s="12" t="s">
        <v>269</v>
      </c>
      <c r="N119" s="11" t="s">
        <v>41</v>
      </c>
      <c r="O119" s="25">
        <v>68801591.900000006</v>
      </c>
      <c r="P119" s="2">
        <v>100</v>
      </c>
      <c r="Q119" s="25">
        <v>68801591.900000006</v>
      </c>
      <c r="R119" s="25">
        <v>6111177.3993185004</v>
      </c>
      <c r="S119" s="25">
        <v>0</v>
      </c>
      <c r="T119" s="25">
        <v>6045680</v>
      </c>
      <c r="U119" s="25">
        <v>56644734.500681505</v>
      </c>
      <c r="V119" s="18">
        <v>0</v>
      </c>
      <c r="W119" s="13">
        <v>4594716</v>
      </c>
      <c r="X119" s="13">
        <v>0</v>
      </c>
      <c r="Y119" s="13">
        <f t="shared" si="1"/>
        <v>0</v>
      </c>
      <c r="Z119" s="13"/>
      <c r="AA119" s="31"/>
      <c r="AB119" s="27"/>
    </row>
    <row r="120" spans="2:28">
      <c r="B120" s="11">
        <v>110</v>
      </c>
      <c r="C120" s="1" t="s">
        <v>309</v>
      </c>
      <c r="D120" s="1" t="s">
        <v>310</v>
      </c>
      <c r="E120" s="1" t="s">
        <v>311</v>
      </c>
      <c r="F120" s="29" t="s">
        <v>38</v>
      </c>
      <c r="G120" s="11">
        <v>2023</v>
      </c>
      <c r="H120" s="16">
        <v>45240</v>
      </c>
      <c r="I120" s="16">
        <v>45787</v>
      </c>
      <c r="J120" s="11">
        <v>29371</v>
      </c>
      <c r="K120" s="12" t="s">
        <v>86</v>
      </c>
      <c r="L120" s="16">
        <v>45580</v>
      </c>
      <c r="M120" s="12" t="s">
        <v>269</v>
      </c>
      <c r="N120" s="11" t="s">
        <v>41</v>
      </c>
      <c r="O120" s="25">
        <v>24321659.850000001</v>
      </c>
      <c r="P120" s="2">
        <v>100</v>
      </c>
      <c r="Q120" s="25">
        <v>24321659.850000001</v>
      </c>
      <c r="R120" s="25">
        <v>2846975.7154065799</v>
      </c>
      <c r="S120" s="25">
        <v>0</v>
      </c>
      <c r="T120" s="25">
        <v>21474685</v>
      </c>
      <c r="U120" s="25">
        <v>-0.8654065802693367</v>
      </c>
      <c r="V120" s="18">
        <v>0</v>
      </c>
      <c r="W120" s="13">
        <v>16320760</v>
      </c>
      <c r="X120" s="13">
        <v>1621443990</v>
      </c>
      <c r="Y120" s="13">
        <f t="shared" si="1"/>
        <v>1232297432.4000001</v>
      </c>
      <c r="Z120" s="13"/>
      <c r="AA120" s="31"/>
      <c r="AB120" s="27"/>
    </row>
    <row r="121" spans="2:28">
      <c r="B121" s="11">
        <v>111</v>
      </c>
      <c r="C121" s="1" t="s">
        <v>312</v>
      </c>
      <c r="D121" s="1" t="s">
        <v>313</v>
      </c>
      <c r="E121" s="1" t="s">
        <v>314</v>
      </c>
      <c r="F121" s="29" t="s">
        <v>38</v>
      </c>
      <c r="G121" s="11">
        <v>2024</v>
      </c>
      <c r="H121" s="16">
        <v>45323</v>
      </c>
      <c r="I121" s="16">
        <v>45689</v>
      </c>
      <c r="J121" s="11">
        <v>2623</v>
      </c>
      <c r="K121" s="12" t="s">
        <v>315</v>
      </c>
      <c r="L121" s="16">
        <v>45590</v>
      </c>
      <c r="M121" s="12" t="s">
        <v>133</v>
      </c>
      <c r="N121" s="11" t="s">
        <v>41</v>
      </c>
      <c r="O121" s="28">
        <v>85626093</v>
      </c>
      <c r="P121" s="2">
        <v>75</v>
      </c>
      <c r="Q121" s="25">
        <v>64219569.75</v>
      </c>
      <c r="R121" s="28">
        <v>24052273.3146067</v>
      </c>
      <c r="S121" s="28">
        <v>0</v>
      </c>
      <c r="T121" s="28">
        <v>39806512</v>
      </c>
      <c r="U121" s="25">
        <v>360784.43539330363</v>
      </c>
      <c r="V121" s="18">
        <v>0</v>
      </c>
      <c r="W121" s="18">
        <v>36223926</v>
      </c>
      <c r="X121" s="13">
        <v>1219999000</v>
      </c>
      <c r="Y121" s="13">
        <f>X121*91%</f>
        <v>1110199090</v>
      </c>
      <c r="Z121" s="13"/>
      <c r="AA121" s="31"/>
      <c r="AB121" s="27"/>
    </row>
    <row r="122" spans="2:28">
      <c r="B122" s="11">
        <v>112</v>
      </c>
      <c r="C122" s="1" t="s">
        <v>316</v>
      </c>
      <c r="D122" s="1" t="s">
        <v>317</v>
      </c>
      <c r="E122" s="1" t="s">
        <v>318</v>
      </c>
      <c r="F122" s="29" t="s">
        <v>38</v>
      </c>
      <c r="G122" s="11">
        <v>2024</v>
      </c>
      <c r="H122" s="16">
        <v>45404</v>
      </c>
      <c r="I122" s="16">
        <v>45561</v>
      </c>
      <c r="J122" s="11">
        <v>2433</v>
      </c>
      <c r="K122" s="12" t="s">
        <v>319</v>
      </c>
      <c r="L122" s="16">
        <v>45493</v>
      </c>
      <c r="M122" s="12" t="s">
        <v>133</v>
      </c>
      <c r="N122" s="11" t="s">
        <v>41</v>
      </c>
      <c r="O122" s="25">
        <v>366231865</v>
      </c>
      <c r="P122" s="2">
        <v>15</v>
      </c>
      <c r="Q122" s="25">
        <v>54934779.75</v>
      </c>
      <c r="R122" s="25">
        <v>6222352.2980538001</v>
      </c>
      <c r="S122" s="25">
        <v>0</v>
      </c>
      <c r="T122" s="25">
        <v>48685889</v>
      </c>
      <c r="U122" s="25">
        <v>26538.45194619894</v>
      </c>
      <c r="V122" s="18">
        <v>0</v>
      </c>
      <c r="W122" s="13">
        <v>44304159</v>
      </c>
      <c r="X122" s="13">
        <v>1510000000</v>
      </c>
      <c r="Y122" s="13">
        <f t="shared" ref="Y122:Y163" si="2">X122*91%</f>
        <v>1374100000</v>
      </c>
      <c r="Z122" s="13"/>
      <c r="AA122" s="31"/>
      <c r="AB122" s="27"/>
    </row>
    <row r="123" spans="2:28">
      <c r="B123" s="11">
        <v>113</v>
      </c>
      <c r="C123" s="1" t="s">
        <v>320</v>
      </c>
      <c r="D123" s="1" t="s">
        <v>321</v>
      </c>
      <c r="E123" s="1" t="s">
        <v>322</v>
      </c>
      <c r="F123" s="29" t="s">
        <v>38</v>
      </c>
      <c r="G123" s="11">
        <v>2024</v>
      </c>
      <c r="H123" s="16">
        <v>45528</v>
      </c>
      <c r="I123" s="16">
        <v>45893</v>
      </c>
      <c r="J123" s="11">
        <v>29412</v>
      </c>
      <c r="K123" s="12" t="s">
        <v>323</v>
      </c>
      <c r="L123" s="16">
        <v>45697</v>
      </c>
      <c r="M123" s="12" t="s">
        <v>87</v>
      </c>
      <c r="N123" s="11" t="s">
        <v>41</v>
      </c>
      <c r="O123" s="25">
        <v>108793333</v>
      </c>
      <c r="P123" s="2">
        <v>25</v>
      </c>
      <c r="Q123" s="25">
        <v>27198333.25</v>
      </c>
      <c r="R123" s="25">
        <v>6721885.78406105</v>
      </c>
      <c r="S123" s="25">
        <v>0</v>
      </c>
      <c r="T123" s="25">
        <v>20459643</v>
      </c>
      <c r="U123" s="25">
        <v>16804.465938948095</v>
      </c>
      <c r="V123" s="18">
        <v>0</v>
      </c>
      <c r="W123" s="13">
        <v>18618275</v>
      </c>
      <c r="X123" s="13">
        <v>162180000</v>
      </c>
      <c r="Y123" s="13">
        <f t="shared" si="2"/>
        <v>147583800</v>
      </c>
      <c r="Z123" s="13"/>
      <c r="AA123" s="31"/>
      <c r="AB123" s="27"/>
    </row>
    <row r="124" spans="2:28">
      <c r="B124" s="11">
        <v>114</v>
      </c>
      <c r="C124" s="1" t="s">
        <v>324</v>
      </c>
      <c r="D124" s="1" t="s">
        <v>325</v>
      </c>
      <c r="E124" s="1" t="s">
        <v>326</v>
      </c>
      <c r="F124" s="29" t="s">
        <v>38</v>
      </c>
      <c r="G124" s="11">
        <v>2024</v>
      </c>
      <c r="H124" s="16">
        <v>45657</v>
      </c>
      <c r="I124" s="16">
        <v>46022</v>
      </c>
      <c r="J124" s="11">
        <v>2121</v>
      </c>
      <c r="K124" s="12" t="s">
        <v>327</v>
      </c>
      <c r="L124" s="16">
        <v>45742</v>
      </c>
      <c r="M124" s="12" t="s">
        <v>87</v>
      </c>
      <c r="N124" s="11" t="s">
        <v>41</v>
      </c>
      <c r="O124" s="25">
        <v>20243600</v>
      </c>
      <c r="P124" s="2">
        <v>37.5</v>
      </c>
      <c r="Q124" s="25">
        <v>7591350</v>
      </c>
      <c r="R124" s="25">
        <v>5012451.0267990101</v>
      </c>
      <c r="S124" s="25">
        <v>0</v>
      </c>
      <c r="T124" s="25">
        <v>2560102</v>
      </c>
      <c r="U124" s="25">
        <v>18796.973200989887</v>
      </c>
      <c r="V124" s="18">
        <v>0</v>
      </c>
      <c r="W124" s="13">
        <v>2329693</v>
      </c>
      <c r="X124" s="13">
        <v>21000000</v>
      </c>
      <c r="Y124" s="13">
        <f t="shared" si="2"/>
        <v>19110000</v>
      </c>
      <c r="Z124" s="13"/>
      <c r="AA124" s="31"/>
      <c r="AB124" s="27"/>
    </row>
    <row r="125" spans="2:28">
      <c r="B125" s="11">
        <v>115</v>
      </c>
      <c r="C125" s="1" t="s">
        <v>328</v>
      </c>
      <c r="D125" s="1" t="s">
        <v>329</v>
      </c>
      <c r="E125" s="1" t="s">
        <v>330</v>
      </c>
      <c r="F125" s="29" t="s">
        <v>38</v>
      </c>
      <c r="G125" s="11">
        <v>2024</v>
      </c>
      <c r="H125" s="16">
        <v>45627</v>
      </c>
      <c r="I125" s="16">
        <v>45992</v>
      </c>
      <c r="J125" s="11">
        <v>238</v>
      </c>
      <c r="K125" s="12" t="s">
        <v>331</v>
      </c>
      <c r="L125" s="16">
        <v>45817</v>
      </c>
      <c r="M125" s="12" t="s">
        <v>87</v>
      </c>
      <c r="N125" s="11" t="s">
        <v>41</v>
      </c>
      <c r="O125" s="25">
        <v>124892706.99999999</v>
      </c>
      <c r="P125" s="2">
        <v>10</v>
      </c>
      <c r="Q125" s="25">
        <v>12489270.699999999</v>
      </c>
      <c r="R125" s="25">
        <v>8108897.0771407699</v>
      </c>
      <c r="S125" s="25">
        <v>0</v>
      </c>
      <c r="T125" s="25">
        <v>4364929</v>
      </c>
      <c r="U125" s="25">
        <v>15444.622859229334</v>
      </c>
      <c r="V125" s="18">
        <v>0</v>
      </c>
      <c r="W125" s="13">
        <v>3972085</v>
      </c>
      <c r="X125" s="13">
        <v>0</v>
      </c>
      <c r="Y125" s="13">
        <f t="shared" si="2"/>
        <v>0</v>
      </c>
      <c r="Z125" s="13"/>
      <c r="AA125" s="31"/>
      <c r="AB125" s="27"/>
    </row>
    <row r="126" spans="2:28">
      <c r="B126" s="11">
        <v>116</v>
      </c>
      <c r="C126" s="1" t="s">
        <v>332</v>
      </c>
      <c r="D126" s="1" t="s">
        <v>333</v>
      </c>
      <c r="E126" s="1" t="s">
        <v>334</v>
      </c>
      <c r="F126" s="29" t="s">
        <v>38</v>
      </c>
      <c r="G126" s="11">
        <v>2024</v>
      </c>
      <c r="H126" s="16">
        <v>45626</v>
      </c>
      <c r="I126" s="16">
        <v>45991</v>
      </c>
      <c r="J126" s="11">
        <v>2751</v>
      </c>
      <c r="K126" s="12" t="s">
        <v>335</v>
      </c>
      <c r="L126" s="16">
        <v>45787</v>
      </c>
      <c r="M126" s="12" t="s">
        <v>87</v>
      </c>
      <c r="N126" s="11" t="s">
        <v>41</v>
      </c>
      <c r="O126" s="25">
        <v>36104565</v>
      </c>
      <c r="P126" s="2">
        <v>5</v>
      </c>
      <c r="Q126" s="25">
        <v>1805228.25</v>
      </c>
      <c r="R126" s="25">
        <v>738073.82207526499</v>
      </c>
      <c r="S126" s="25">
        <v>0</v>
      </c>
      <c r="T126" s="25">
        <v>124517</v>
      </c>
      <c r="U126" s="25">
        <v>942637.42792473501</v>
      </c>
      <c r="V126" s="18">
        <v>0</v>
      </c>
      <c r="W126" s="13">
        <v>113311</v>
      </c>
      <c r="X126" s="13">
        <v>0</v>
      </c>
      <c r="Y126" s="13">
        <f t="shared" si="2"/>
        <v>0</v>
      </c>
      <c r="Z126" s="13"/>
      <c r="AA126" s="31"/>
      <c r="AB126" s="27"/>
    </row>
    <row r="127" spans="2:28">
      <c r="B127" s="11">
        <v>117</v>
      </c>
      <c r="C127" s="1" t="s">
        <v>336</v>
      </c>
      <c r="D127" s="1" t="s">
        <v>333</v>
      </c>
      <c r="E127" s="1" t="s">
        <v>334</v>
      </c>
      <c r="F127" s="29" t="s">
        <v>38</v>
      </c>
      <c r="G127" s="11">
        <v>2024</v>
      </c>
      <c r="H127" s="16">
        <v>45626</v>
      </c>
      <c r="I127" s="16">
        <v>45991</v>
      </c>
      <c r="J127" s="11">
        <v>2751</v>
      </c>
      <c r="K127" s="12" t="s">
        <v>335</v>
      </c>
      <c r="L127" s="16">
        <v>45799</v>
      </c>
      <c r="M127" s="12" t="s">
        <v>87</v>
      </c>
      <c r="N127" s="11" t="s">
        <v>41</v>
      </c>
      <c r="O127" s="25">
        <v>36104565</v>
      </c>
      <c r="P127" s="2">
        <v>5</v>
      </c>
      <c r="Q127" s="25">
        <v>1805228.25</v>
      </c>
      <c r="R127" s="25">
        <v>738073.82207526499</v>
      </c>
      <c r="S127" s="25">
        <v>0</v>
      </c>
      <c r="T127" s="25">
        <v>115372</v>
      </c>
      <c r="U127" s="25">
        <v>951782.42792473501</v>
      </c>
      <c r="V127" s="18">
        <v>0</v>
      </c>
      <c r="W127" s="13">
        <v>104989</v>
      </c>
      <c r="X127" s="13">
        <v>0</v>
      </c>
      <c r="Y127" s="13">
        <f t="shared" si="2"/>
        <v>0</v>
      </c>
      <c r="Z127" s="13"/>
      <c r="AA127" s="31"/>
      <c r="AB127" s="27"/>
    </row>
    <row r="128" spans="2:28" s="14" customFormat="1">
      <c r="B128" s="11">
        <v>118</v>
      </c>
      <c r="C128" s="12" t="s">
        <v>337</v>
      </c>
      <c r="D128" s="12" t="s">
        <v>333</v>
      </c>
      <c r="E128" s="12" t="s">
        <v>334</v>
      </c>
      <c r="F128" s="29" t="s">
        <v>38</v>
      </c>
      <c r="G128" s="11">
        <v>2024</v>
      </c>
      <c r="H128" s="16">
        <v>45626</v>
      </c>
      <c r="I128" s="16">
        <v>45991</v>
      </c>
      <c r="J128" s="11">
        <v>2751</v>
      </c>
      <c r="K128" s="12" t="s">
        <v>335</v>
      </c>
      <c r="L128" s="16">
        <v>45803</v>
      </c>
      <c r="M128" s="12" t="s">
        <v>87</v>
      </c>
      <c r="N128" s="11" t="s">
        <v>41</v>
      </c>
      <c r="O128" s="25">
        <v>36104565</v>
      </c>
      <c r="P128" s="2">
        <v>5</v>
      </c>
      <c r="Q128" s="25">
        <v>1805228.25</v>
      </c>
      <c r="R128" s="25">
        <v>738073.82207526499</v>
      </c>
      <c r="S128" s="25">
        <v>0</v>
      </c>
      <c r="T128" s="25">
        <v>89008</v>
      </c>
      <c r="U128" s="25">
        <v>978146.42792473501</v>
      </c>
      <c r="V128" s="18">
        <v>0</v>
      </c>
      <c r="W128" s="13">
        <v>80998</v>
      </c>
      <c r="X128" s="13">
        <v>0</v>
      </c>
      <c r="Y128" s="13">
        <f t="shared" si="2"/>
        <v>0</v>
      </c>
      <c r="Z128" s="13"/>
      <c r="AA128" s="31"/>
      <c r="AB128" s="27"/>
    </row>
    <row r="129" spans="2:28">
      <c r="B129" s="11">
        <v>119</v>
      </c>
      <c r="C129" s="1" t="s">
        <v>338</v>
      </c>
      <c r="D129" s="1" t="s">
        <v>333</v>
      </c>
      <c r="E129" s="1" t="s">
        <v>334</v>
      </c>
      <c r="F129" s="29" t="s">
        <v>38</v>
      </c>
      <c r="G129" s="11">
        <v>2024</v>
      </c>
      <c r="H129" s="16">
        <v>45626</v>
      </c>
      <c r="I129" s="16">
        <v>45991</v>
      </c>
      <c r="J129" s="11">
        <v>2751</v>
      </c>
      <c r="K129" s="12" t="s">
        <v>335</v>
      </c>
      <c r="L129" s="16">
        <v>45808</v>
      </c>
      <c r="M129" s="12" t="s">
        <v>87</v>
      </c>
      <c r="N129" s="11" t="s">
        <v>41</v>
      </c>
      <c r="O129" s="25">
        <v>36104565</v>
      </c>
      <c r="P129" s="2">
        <v>5</v>
      </c>
      <c r="Q129" s="25">
        <v>1805228.25</v>
      </c>
      <c r="R129" s="25">
        <v>738073.82207526499</v>
      </c>
      <c r="S129" s="25">
        <v>0</v>
      </c>
      <c r="T129" s="25">
        <v>122770</v>
      </c>
      <c r="U129" s="25">
        <v>944384.42792473501</v>
      </c>
      <c r="V129" s="18">
        <v>0</v>
      </c>
      <c r="W129" s="13">
        <v>111721</v>
      </c>
      <c r="X129" s="13">
        <v>0</v>
      </c>
      <c r="Y129" s="13">
        <f t="shared" si="2"/>
        <v>0</v>
      </c>
      <c r="Z129" s="13"/>
      <c r="AA129" s="31"/>
      <c r="AB129" s="27"/>
    </row>
    <row r="130" spans="2:28">
      <c r="B130" s="11">
        <v>120</v>
      </c>
      <c r="C130" s="1" t="s">
        <v>339</v>
      </c>
      <c r="D130" s="1" t="s">
        <v>333</v>
      </c>
      <c r="E130" s="1" t="s">
        <v>334</v>
      </c>
      <c r="F130" s="29" t="s">
        <v>38</v>
      </c>
      <c r="G130" s="11">
        <v>2024</v>
      </c>
      <c r="H130" s="16">
        <v>45626</v>
      </c>
      <c r="I130" s="16">
        <v>45991</v>
      </c>
      <c r="J130" s="11">
        <v>2751</v>
      </c>
      <c r="K130" s="12" t="s">
        <v>335</v>
      </c>
      <c r="L130" s="16">
        <v>45818</v>
      </c>
      <c r="M130" s="12" t="s">
        <v>87</v>
      </c>
      <c r="N130" s="11" t="s">
        <v>41</v>
      </c>
      <c r="O130" s="25">
        <v>36104565</v>
      </c>
      <c r="P130" s="2">
        <v>5</v>
      </c>
      <c r="Q130" s="25">
        <v>1805228.25</v>
      </c>
      <c r="R130" s="25">
        <v>738073.82207526499</v>
      </c>
      <c r="S130" s="25">
        <v>0</v>
      </c>
      <c r="T130" s="25">
        <v>66346</v>
      </c>
      <c r="U130" s="25">
        <v>1000808.427924735</v>
      </c>
      <c r="V130" s="18">
        <v>0</v>
      </c>
      <c r="W130" s="13">
        <v>60375</v>
      </c>
      <c r="X130" s="13">
        <v>0</v>
      </c>
      <c r="Y130" s="13">
        <f t="shared" si="2"/>
        <v>0</v>
      </c>
      <c r="Z130" s="13"/>
      <c r="AA130" s="31"/>
      <c r="AB130" s="27"/>
    </row>
    <row r="131" spans="2:28">
      <c r="B131" s="11">
        <v>121</v>
      </c>
      <c r="C131" s="1" t="s">
        <v>340</v>
      </c>
      <c r="D131" s="1" t="s">
        <v>333</v>
      </c>
      <c r="E131" s="1" t="s">
        <v>334</v>
      </c>
      <c r="F131" s="29" t="s">
        <v>38</v>
      </c>
      <c r="G131" s="11">
        <v>2024</v>
      </c>
      <c r="H131" s="16">
        <v>45626</v>
      </c>
      <c r="I131" s="16">
        <v>45991</v>
      </c>
      <c r="J131" s="11">
        <v>2751</v>
      </c>
      <c r="K131" s="12" t="s">
        <v>335</v>
      </c>
      <c r="L131" s="16">
        <v>45807</v>
      </c>
      <c r="M131" s="12" t="s">
        <v>87</v>
      </c>
      <c r="N131" s="11" t="s">
        <v>41</v>
      </c>
      <c r="O131" s="25">
        <v>36104565</v>
      </c>
      <c r="P131" s="2">
        <v>5</v>
      </c>
      <c r="Q131" s="25">
        <v>1805228.25</v>
      </c>
      <c r="R131" s="25">
        <v>738073.82207526499</v>
      </c>
      <c r="S131" s="25">
        <v>0</v>
      </c>
      <c r="T131" s="25">
        <v>89067</v>
      </c>
      <c r="U131" s="25">
        <v>978087.42792473501</v>
      </c>
      <c r="V131" s="18">
        <v>0</v>
      </c>
      <c r="W131" s="13">
        <v>81052</v>
      </c>
      <c r="X131" s="13">
        <v>0</v>
      </c>
      <c r="Y131" s="13">
        <f t="shared" si="2"/>
        <v>0</v>
      </c>
      <c r="Z131" s="13"/>
      <c r="AA131" s="31"/>
      <c r="AB131" s="27"/>
    </row>
    <row r="132" spans="2:28">
      <c r="B132" s="11">
        <v>122</v>
      </c>
      <c r="C132" s="1" t="s">
        <v>341</v>
      </c>
      <c r="D132" s="1" t="s">
        <v>333</v>
      </c>
      <c r="E132" s="1" t="s">
        <v>334</v>
      </c>
      <c r="F132" s="29" t="s">
        <v>38</v>
      </c>
      <c r="G132" s="11">
        <v>2024</v>
      </c>
      <c r="H132" s="16">
        <v>45626</v>
      </c>
      <c r="I132" s="16">
        <v>45991</v>
      </c>
      <c r="J132" s="11">
        <v>2751</v>
      </c>
      <c r="K132" s="12" t="s">
        <v>335</v>
      </c>
      <c r="L132" s="16">
        <v>45834</v>
      </c>
      <c r="M132" s="12" t="s">
        <v>87</v>
      </c>
      <c r="N132" s="11" t="s">
        <v>41</v>
      </c>
      <c r="O132" s="25">
        <v>36104565</v>
      </c>
      <c r="P132" s="2">
        <v>5</v>
      </c>
      <c r="Q132" s="25">
        <v>1805228.25</v>
      </c>
      <c r="R132" s="25">
        <v>738073.82207526499</v>
      </c>
      <c r="S132" s="25">
        <v>0</v>
      </c>
      <c r="T132" s="25">
        <v>114530</v>
      </c>
      <c r="U132" s="25">
        <v>952624.42792473501</v>
      </c>
      <c r="V132" s="18">
        <v>0</v>
      </c>
      <c r="W132" s="13">
        <v>104222</v>
      </c>
      <c r="X132" s="13">
        <v>4000000</v>
      </c>
      <c r="Y132" s="13">
        <f t="shared" si="2"/>
        <v>3640000</v>
      </c>
      <c r="Z132" s="13"/>
      <c r="AA132" s="31"/>
      <c r="AB132" s="27"/>
    </row>
    <row r="133" spans="2:28">
      <c r="B133" s="11">
        <v>123</v>
      </c>
      <c r="C133" s="1" t="s">
        <v>342</v>
      </c>
      <c r="D133" s="1" t="s">
        <v>333</v>
      </c>
      <c r="E133" s="1" t="s">
        <v>334</v>
      </c>
      <c r="F133" s="29" t="s">
        <v>38</v>
      </c>
      <c r="G133" s="11">
        <v>2024</v>
      </c>
      <c r="H133" s="16">
        <v>45626</v>
      </c>
      <c r="I133" s="16">
        <v>45991</v>
      </c>
      <c r="J133" s="11">
        <v>2751</v>
      </c>
      <c r="K133" s="12" t="s">
        <v>335</v>
      </c>
      <c r="L133" s="16">
        <v>45865</v>
      </c>
      <c r="M133" s="12" t="s">
        <v>87</v>
      </c>
      <c r="N133" s="11" t="s">
        <v>41</v>
      </c>
      <c r="O133" s="25">
        <v>36104565</v>
      </c>
      <c r="P133" s="2">
        <v>5</v>
      </c>
      <c r="Q133" s="25">
        <v>1805228.25</v>
      </c>
      <c r="R133" s="25">
        <v>738073.82207526499</v>
      </c>
      <c r="S133" s="25">
        <v>0</v>
      </c>
      <c r="T133" s="25">
        <v>114761</v>
      </c>
      <c r="U133" s="25">
        <v>952393.42792473501</v>
      </c>
      <c r="V133" s="18">
        <v>0</v>
      </c>
      <c r="W133" s="13">
        <v>104433</v>
      </c>
      <c r="X133" s="13">
        <v>4000000</v>
      </c>
      <c r="Y133" s="13">
        <f t="shared" si="2"/>
        <v>3640000</v>
      </c>
      <c r="Z133" s="13"/>
      <c r="AA133" s="31"/>
      <c r="AB133" s="27"/>
    </row>
    <row r="134" spans="2:28">
      <c r="B134" s="11">
        <v>124</v>
      </c>
      <c r="C134" s="1" t="s">
        <v>343</v>
      </c>
      <c r="D134" s="1" t="s">
        <v>333</v>
      </c>
      <c r="E134" s="1" t="s">
        <v>334</v>
      </c>
      <c r="F134" s="29" t="s">
        <v>38</v>
      </c>
      <c r="G134" s="11">
        <v>2024</v>
      </c>
      <c r="H134" s="16">
        <v>45626</v>
      </c>
      <c r="I134" s="16">
        <v>45991</v>
      </c>
      <c r="J134" s="11">
        <v>2751</v>
      </c>
      <c r="K134" s="12" t="s">
        <v>335</v>
      </c>
      <c r="L134" s="16">
        <v>45868</v>
      </c>
      <c r="M134" s="12" t="s">
        <v>87</v>
      </c>
      <c r="N134" s="11" t="s">
        <v>41</v>
      </c>
      <c r="O134" s="25">
        <v>36104565</v>
      </c>
      <c r="P134" s="2">
        <v>5</v>
      </c>
      <c r="Q134" s="25">
        <v>1805228.25</v>
      </c>
      <c r="R134" s="25">
        <v>738073.82207526499</v>
      </c>
      <c r="S134" s="25">
        <v>0</v>
      </c>
      <c r="T134" s="25">
        <v>115282</v>
      </c>
      <c r="U134" s="25">
        <v>951872.42792473501</v>
      </c>
      <c r="V134" s="18">
        <v>0</v>
      </c>
      <c r="W134" s="13">
        <v>104906</v>
      </c>
      <c r="X134" s="13">
        <v>4000000</v>
      </c>
      <c r="Y134" s="13">
        <f t="shared" si="2"/>
        <v>3640000</v>
      </c>
      <c r="Z134" s="13"/>
      <c r="AA134" s="31"/>
      <c r="AB134" s="27"/>
    </row>
    <row r="135" spans="2:28">
      <c r="B135" s="11">
        <v>125</v>
      </c>
      <c r="C135" s="1" t="s">
        <v>344</v>
      </c>
      <c r="D135" s="1" t="s">
        <v>333</v>
      </c>
      <c r="E135" s="1" t="s">
        <v>334</v>
      </c>
      <c r="F135" s="29" t="s">
        <v>38</v>
      </c>
      <c r="G135" s="11">
        <v>2024</v>
      </c>
      <c r="H135" s="16">
        <v>45626</v>
      </c>
      <c r="I135" s="16">
        <v>45991</v>
      </c>
      <c r="J135" s="11">
        <v>2751</v>
      </c>
      <c r="K135" s="12" t="s">
        <v>335</v>
      </c>
      <c r="L135" s="16">
        <v>45865</v>
      </c>
      <c r="M135" s="12" t="s">
        <v>87</v>
      </c>
      <c r="N135" s="11" t="s">
        <v>41</v>
      </c>
      <c r="O135" s="25">
        <v>36104565</v>
      </c>
      <c r="P135" s="2">
        <v>5</v>
      </c>
      <c r="Q135" s="25">
        <v>1805228.25</v>
      </c>
      <c r="R135" s="25">
        <v>738073.82207526499</v>
      </c>
      <c r="S135" s="25">
        <v>0</v>
      </c>
      <c r="T135" s="25">
        <v>114761</v>
      </c>
      <c r="U135" s="25">
        <v>952393.42792473501</v>
      </c>
      <c r="V135" s="18">
        <v>0</v>
      </c>
      <c r="W135" s="13">
        <v>104433</v>
      </c>
      <c r="X135" s="13">
        <v>4000000</v>
      </c>
      <c r="Y135" s="13">
        <f t="shared" si="2"/>
        <v>3640000</v>
      </c>
      <c r="Z135" s="13"/>
      <c r="AA135" s="31"/>
      <c r="AB135" s="27"/>
    </row>
    <row r="136" spans="2:28">
      <c r="B136" s="11">
        <v>126</v>
      </c>
      <c r="C136" s="1" t="s">
        <v>345</v>
      </c>
      <c r="D136" s="1" t="s">
        <v>346</v>
      </c>
      <c r="E136" s="1" t="s">
        <v>186</v>
      </c>
      <c r="F136" s="29" t="s">
        <v>38</v>
      </c>
      <c r="G136" s="11">
        <v>2024</v>
      </c>
      <c r="H136" s="16">
        <v>45657</v>
      </c>
      <c r="I136" s="16">
        <v>46022</v>
      </c>
      <c r="J136" s="11">
        <v>2971</v>
      </c>
      <c r="K136" s="12" t="s">
        <v>187</v>
      </c>
      <c r="L136" s="16">
        <v>45664</v>
      </c>
      <c r="M136" s="12" t="s">
        <v>87</v>
      </c>
      <c r="N136" s="11" t="s">
        <v>41</v>
      </c>
      <c r="O136" s="28">
        <v>20202000</v>
      </c>
      <c r="P136" s="2">
        <v>5</v>
      </c>
      <c r="Q136" s="25">
        <v>1010100</v>
      </c>
      <c r="R136" s="28">
        <v>472500.71117904398</v>
      </c>
      <c r="S136" s="28">
        <v>0</v>
      </c>
      <c r="T136" s="28">
        <v>135757</v>
      </c>
      <c r="U136" s="25">
        <v>401842.28882095602</v>
      </c>
      <c r="V136" s="18">
        <v>0</v>
      </c>
      <c r="W136" s="18">
        <v>123539</v>
      </c>
      <c r="X136" s="13">
        <v>0</v>
      </c>
      <c r="Y136" s="13">
        <f t="shared" si="2"/>
        <v>0</v>
      </c>
      <c r="Z136" s="13"/>
      <c r="AA136" s="31"/>
      <c r="AB136" s="27"/>
    </row>
    <row r="137" spans="2:28">
      <c r="B137" s="11">
        <v>127</v>
      </c>
      <c r="C137" s="1" t="s">
        <v>347</v>
      </c>
      <c r="D137" s="1" t="s">
        <v>346</v>
      </c>
      <c r="E137" s="1" t="s">
        <v>186</v>
      </c>
      <c r="F137" s="29" t="s">
        <v>38</v>
      </c>
      <c r="G137" s="11">
        <v>2024</v>
      </c>
      <c r="H137" s="16">
        <v>45657</v>
      </c>
      <c r="I137" s="16">
        <v>46022</v>
      </c>
      <c r="J137" s="11">
        <v>2971</v>
      </c>
      <c r="K137" s="12" t="s">
        <v>187</v>
      </c>
      <c r="L137" s="16">
        <v>45697</v>
      </c>
      <c r="M137" s="12" t="s">
        <v>87</v>
      </c>
      <c r="N137" s="11" t="s">
        <v>41</v>
      </c>
      <c r="O137" s="25">
        <v>20202000</v>
      </c>
      <c r="P137" s="2">
        <v>5</v>
      </c>
      <c r="Q137" s="25">
        <v>1010100</v>
      </c>
      <c r="R137" s="25">
        <v>472500.71117904398</v>
      </c>
      <c r="S137" s="25">
        <v>0</v>
      </c>
      <c r="T137" s="25">
        <v>174122</v>
      </c>
      <c r="U137" s="25">
        <v>363477.28882095602</v>
      </c>
      <c r="V137" s="18">
        <v>0</v>
      </c>
      <c r="W137" s="13">
        <v>158452</v>
      </c>
      <c r="X137" s="13">
        <v>0</v>
      </c>
      <c r="Y137" s="13">
        <f t="shared" si="2"/>
        <v>0</v>
      </c>
      <c r="Z137" s="13"/>
      <c r="AA137" s="31"/>
      <c r="AB137" s="27"/>
    </row>
    <row r="138" spans="2:28">
      <c r="B138" s="11">
        <v>128</v>
      </c>
      <c r="C138" s="1" t="s">
        <v>348</v>
      </c>
      <c r="D138" s="1" t="s">
        <v>346</v>
      </c>
      <c r="E138" s="1" t="s">
        <v>186</v>
      </c>
      <c r="F138" s="29" t="s">
        <v>38</v>
      </c>
      <c r="G138" s="11">
        <v>2024</v>
      </c>
      <c r="H138" s="16">
        <v>45657</v>
      </c>
      <c r="I138" s="16">
        <v>46022</v>
      </c>
      <c r="J138" s="11">
        <v>2971</v>
      </c>
      <c r="K138" s="12" t="s">
        <v>187</v>
      </c>
      <c r="L138" s="16">
        <v>45716</v>
      </c>
      <c r="M138" s="12" t="s">
        <v>87</v>
      </c>
      <c r="N138" s="11" t="s">
        <v>41</v>
      </c>
      <c r="O138" s="28">
        <v>20202000</v>
      </c>
      <c r="P138" s="2">
        <v>5</v>
      </c>
      <c r="Q138" s="25">
        <v>1010100</v>
      </c>
      <c r="R138" s="28">
        <v>472500.71117904398</v>
      </c>
      <c r="S138" s="28">
        <v>0</v>
      </c>
      <c r="T138" s="28">
        <v>227246</v>
      </c>
      <c r="U138" s="25">
        <v>310353.28882095602</v>
      </c>
      <c r="V138" s="18">
        <v>0</v>
      </c>
      <c r="W138" s="18">
        <v>206794</v>
      </c>
      <c r="X138" s="13">
        <v>0</v>
      </c>
      <c r="Y138" s="13">
        <f t="shared" si="2"/>
        <v>0</v>
      </c>
      <c r="Z138" s="13"/>
      <c r="AA138" s="31"/>
      <c r="AB138" s="27"/>
    </row>
    <row r="139" spans="2:28">
      <c r="B139" s="11">
        <v>129</v>
      </c>
      <c r="C139" s="1" t="s">
        <v>349</v>
      </c>
      <c r="D139" s="1" t="s">
        <v>350</v>
      </c>
      <c r="E139" s="1" t="s">
        <v>351</v>
      </c>
      <c r="F139" s="29" t="s">
        <v>38</v>
      </c>
      <c r="G139" s="11">
        <v>2024</v>
      </c>
      <c r="H139" s="16">
        <v>45350</v>
      </c>
      <c r="I139" s="16">
        <v>45716</v>
      </c>
      <c r="J139" s="11">
        <v>2975</v>
      </c>
      <c r="K139" s="12" t="s">
        <v>352</v>
      </c>
      <c r="L139" s="16">
        <v>45630</v>
      </c>
      <c r="M139" s="12" t="s">
        <v>87</v>
      </c>
      <c r="N139" s="11" t="s">
        <v>41</v>
      </c>
      <c r="O139" s="25">
        <v>96342903</v>
      </c>
      <c r="P139" s="2">
        <v>12.5</v>
      </c>
      <c r="Q139" s="25">
        <v>12042862.875</v>
      </c>
      <c r="R139" s="25">
        <v>2083540.2897923901</v>
      </c>
      <c r="S139" s="25">
        <v>0</v>
      </c>
      <c r="T139" s="25">
        <v>2519318</v>
      </c>
      <c r="U139" s="25">
        <v>7440004.5852076095</v>
      </c>
      <c r="V139" s="18">
        <v>0</v>
      </c>
      <c r="W139" s="13">
        <v>2292580</v>
      </c>
      <c r="X139" s="13">
        <v>0</v>
      </c>
      <c r="Y139" s="13">
        <f t="shared" si="2"/>
        <v>0</v>
      </c>
      <c r="Z139" s="13"/>
      <c r="AA139" s="31"/>
      <c r="AB139" s="27"/>
    </row>
    <row r="140" spans="2:28">
      <c r="B140" s="11">
        <v>130</v>
      </c>
      <c r="C140" s="1" t="s">
        <v>353</v>
      </c>
      <c r="D140" s="1" t="s">
        <v>350</v>
      </c>
      <c r="E140" s="1" t="s">
        <v>351</v>
      </c>
      <c r="F140" s="29" t="s">
        <v>38</v>
      </c>
      <c r="G140" s="11">
        <v>2024</v>
      </c>
      <c r="H140" s="16">
        <v>45350</v>
      </c>
      <c r="I140" s="16">
        <v>45716</v>
      </c>
      <c r="J140" s="11">
        <v>2975</v>
      </c>
      <c r="K140" s="12" t="s">
        <v>352</v>
      </c>
      <c r="L140" s="16">
        <v>45644</v>
      </c>
      <c r="M140" s="12" t="s">
        <v>87</v>
      </c>
      <c r="N140" s="11" t="s">
        <v>41</v>
      </c>
      <c r="O140" s="28">
        <v>96342903</v>
      </c>
      <c r="P140" s="2">
        <v>12.5</v>
      </c>
      <c r="Q140" s="25">
        <v>12042862.875</v>
      </c>
      <c r="R140" s="28">
        <v>2083540.2897923901</v>
      </c>
      <c r="S140" s="28">
        <v>0</v>
      </c>
      <c r="T140" s="28">
        <v>7436533</v>
      </c>
      <c r="U140" s="25">
        <v>2522789.5852076095</v>
      </c>
      <c r="V140" s="18">
        <v>0</v>
      </c>
      <c r="W140" s="18">
        <v>6767244</v>
      </c>
      <c r="X140" s="13">
        <v>72004064</v>
      </c>
      <c r="Y140" s="13">
        <f t="shared" si="2"/>
        <v>65523698.240000002</v>
      </c>
      <c r="Z140" s="13"/>
      <c r="AA140" s="31"/>
      <c r="AB140" s="27"/>
    </row>
    <row r="141" spans="2:28">
      <c r="B141" s="11">
        <v>131</v>
      </c>
      <c r="C141" s="1" t="s">
        <v>354</v>
      </c>
      <c r="D141" s="1" t="s">
        <v>355</v>
      </c>
      <c r="E141" s="1" t="s">
        <v>356</v>
      </c>
      <c r="F141" s="29" t="s">
        <v>38</v>
      </c>
      <c r="G141" s="11">
        <v>2024</v>
      </c>
      <c r="H141" s="16">
        <v>45350</v>
      </c>
      <c r="I141" s="16">
        <v>45716</v>
      </c>
      <c r="J141" s="11">
        <v>2975</v>
      </c>
      <c r="K141" s="12" t="s">
        <v>357</v>
      </c>
      <c r="L141" s="16">
        <v>45355</v>
      </c>
      <c r="M141" s="12" t="s">
        <v>87</v>
      </c>
      <c r="N141" s="11" t="s">
        <v>41</v>
      </c>
      <c r="O141" s="25">
        <v>21650000</v>
      </c>
      <c r="P141" s="2">
        <v>12.5</v>
      </c>
      <c r="Q141" s="25">
        <v>2706250</v>
      </c>
      <c r="R141" s="25">
        <v>349080.94163182098</v>
      </c>
      <c r="S141" s="25">
        <v>0</v>
      </c>
      <c r="T141" s="25">
        <v>1774353</v>
      </c>
      <c r="U141" s="25">
        <v>582816.05836817902</v>
      </c>
      <c r="V141" s="18">
        <v>0</v>
      </c>
      <c r="W141" s="13">
        <v>1614661</v>
      </c>
      <c r="X141" s="13">
        <v>0</v>
      </c>
      <c r="Y141" s="13">
        <f t="shared" si="2"/>
        <v>0</v>
      </c>
      <c r="Z141" s="13"/>
      <c r="AA141" s="31"/>
      <c r="AB141" s="27"/>
    </row>
    <row r="142" spans="2:28">
      <c r="B142" s="11">
        <v>132</v>
      </c>
      <c r="C142" s="1" t="s">
        <v>358</v>
      </c>
      <c r="D142" s="1" t="s">
        <v>355</v>
      </c>
      <c r="E142" s="1" t="s">
        <v>356</v>
      </c>
      <c r="F142" s="29" t="s">
        <v>38</v>
      </c>
      <c r="G142" s="11">
        <v>2024</v>
      </c>
      <c r="H142" s="16">
        <v>45350</v>
      </c>
      <c r="I142" s="16">
        <v>45716</v>
      </c>
      <c r="J142" s="11">
        <v>2975</v>
      </c>
      <c r="K142" s="12" t="s">
        <v>357</v>
      </c>
      <c r="L142" s="16">
        <v>45672</v>
      </c>
      <c r="M142" s="12" t="s">
        <v>87</v>
      </c>
      <c r="N142" s="11" t="s">
        <v>41</v>
      </c>
      <c r="O142" s="25">
        <v>21650000</v>
      </c>
      <c r="P142" s="2">
        <v>12.5</v>
      </c>
      <c r="Q142" s="25">
        <v>2706250</v>
      </c>
      <c r="R142" s="25">
        <v>349080.94163182098</v>
      </c>
      <c r="S142" s="25">
        <v>0</v>
      </c>
      <c r="T142" s="25">
        <v>582381</v>
      </c>
      <c r="U142" s="25">
        <v>1774788.058368179</v>
      </c>
      <c r="V142" s="18">
        <v>0</v>
      </c>
      <c r="W142" s="13">
        <v>529966</v>
      </c>
      <c r="X142" s="13">
        <v>0</v>
      </c>
      <c r="Y142" s="13">
        <f t="shared" si="2"/>
        <v>0</v>
      </c>
      <c r="Z142" s="13"/>
      <c r="AA142" s="31"/>
      <c r="AB142" s="27"/>
    </row>
    <row r="143" spans="2:28">
      <c r="B143" s="11">
        <v>133</v>
      </c>
      <c r="C143" s="1" t="s">
        <v>359</v>
      </c>
      <c r="D143" s="1" t="s">
        <v>360</v>
      </c>
      <c r="E143" s="1" t="s">
        <v>361</v>
      </c>
      <c r="F143" s="29" t="s">
        <v>38</v>
      </c>
      <c r="G143" s="11">
        <v>2024</v>
      </c>
      <c r="H143" s="16">
        <v>45505</v>
      </c>
      <c r="I143" s="16">
        <v>46022</v>
      </c>
      <c r="J143" s="11">
        <v>29313</v>
      </c>
      <c r="K143" s="12" t="s">
        <v>362</v>
      </c>
      <c r="L143" s="16">
        <v>45722</v>
      </c>
      <c r="M143" s="12" t="s">
        <v>87</v>
      </c>
      <c r="N143" s="11" t="s">
        <v>41</v>
      </c>
      <c r="O143" s="25">
        <v>5635350</v>
      </c>
      <c r="P143" s="2">
        <v>11.5</v>
      </c>
      <c r="Q143" s="25">
        <v>648065.25</v>
      </c>
      <c r="R143" s="25">
        <v>347289.44124897302</v>
      </c>
      <c r="S143" s="25">
        <v>0</v>
      </c>
      <c r="T143" s="25">
        <v>300243</v>
      </c>
      <c r="U143" s="25">
        <v>532.80875102698337</v>
      </c>
      <c r="V143" s="18">
        <v>0</v>
      </c>
      <c r="W143" s="13">
        <v>273221</v>
      </c>
      <c r="X143" s="13">
        <v>0</v>
      </c>
      <c r="Y143" s="13">
        <f t="shared" si="2"/>
        <v>0</v>
      </c>
      <c r="Z143" s="13"/>
      <c r="AA143" s="31"/>
      <c r="AB143" s="27"/>
    </row>
    <row r="144" spans="2:28">
      <c r="B144" s="11">
        <v>134</v>
      </c>
      <c r="C144" s="1" t="s">
        <v>363</v>
      </c>
      <c r="D144" s="1" t="s">
        <v>364</v>
      </c>
      <c r="E144" s="1" t="s">
        <v>365</v>
      </c>
      <c r="F144" s="29" t="s">
        <v>38</v>
      </c>
      <c r="G144" s="11">
        <v>2024</v>
      </c>
      <c r="H144" s="16">
        <v>45657</v>
      </c>
      <c r="I144" s="16">
        <v>46022</v>
      </c>
      <c r="J144" s="11">
        <v>2974</v>
      </c>
      <c r="K144" s="12" t="s">
        <v>366</v>
      </c>
      <c r="L144" s="16">
        <v>45690</v>
      </c>
      <c r="M144" s="12" t="s">
        <v>87</v>
      </c>
      <c r="N144" s="11" t="s">
        <v>41</v>
      </c>
      <c r="O144" s="25">
        <v>13820000</v>
      </c>
      <c r="P144" s="2">
        <v>10</v>
      </c>
      <c r="Q144" s="25">
        <v>1382000</v>
      </c>
      <c r="R144" s="25">
        <v>306037.30554894399</v>
      </c>
      <c r="S144" s="25">
        <v>0</v>
      </c>
      <c r="T144" s="25">
        <v>529216</v>
      </c>
      <c r="U144" s="25">
        <v>546746.69445105596</v>
      </c>
      <c r="V144" s="18">
        <v>0</v>
      </c>
      <c r="W144" s="13">
        <v>481587</v>
      </c>
      <c r="X144" s="13">
        <v>0</v>
      </c>
      <c r="Y144" s="13">
        <f t="shared" si="2"/>
        <v>0</v>
      </c>
      <c r="Z144" s="13"/>
      <c r="AA144" s="31"/>
      <c r="AB144" s="27"/>
    </row>
    <row r="145" spans="2:28">
      <c r="B145" s="11">
        <v>135</v>
      </c>
      <c r="C145" s="1" t="s">
        <v>367</v>
      </c>
      <c r="D145" s="1" t="s">
        <v>364</v>
      </c>
      <c r="E145" s="1" t="s">
        <v>365</v>
      </c>
      <c r="F145" s="29" t="s">
        <v>38</v>
      </c>
      <c r="G145" s="11">
        <v>2024</v>
      </c>
      <c r="H145" s="16">
        <v>45657</v>
      </c>
      <c r="I145" s="16">
        <v>46022</v>
      </c>
      <c r="J145" s="11">
        <v>2974</v>
      </c>
      <c r="K145" s="12" t="s">
        <v>366</v>
      </c>
      <c r="L145" s="16">
        <v>45836</v>
      </c>
      <c r="M145" s="12" t="s">
        <v>87</v>
      </c>
      <c r="N145" s="11" t="s">
        <v>41</v>
      </c>
      <c r="O145" s="25">
        <v>13820000</v>
      </c>
      <c r="P145" s="2">
        <v>10</v>
      </c>
      <c r="Q145" s="25">
        <v>1382000</v>
      </c>
      <c r="R145" s="25">
        <v>306037.30554894399</v>
      </c>
      <c r="S145" s="25">
        <v>0</v>
      </c>
      <c r="T145" s="25">
        <v>546339</v>
      </c>
      <c r="U145" s="25">
        <v>529623.69445105596</v>
      </c>
      <c r="V145" s="18">
        <v>0</v>
      </c>
      <c r="W145" s="13">
        <v>497168</v>
      </c>
      <c r="X145" s="13">
        <v>10000000</v>
      </c>
      <c r="Y145" s="13">
        <f t="shared" si="2"/>
        <v>9100000</v>
      </c>
      <c r="Z145" s="13"/>
      <c r="AA145" s="31"/>
      <c r="AB145" s="27"/>
    </row>
    <row r="146" spans="2:28">
      <c r="B146" s="11">
        <v>136</v>
      </c>
      <c r="C146" s="1" t="s">
        <v>368</v>
      </c>
      <c r="D146" s="1" t="s">
        <v>369</v>
      </c>
      <c r="E146" s="1" t="s">
        <v>370</v>
      </c>
      <c r="F146" s="29" t="s">
        <v>38</v>
      </c>
      <c r="G146" s="11">
        <v>2024</v>
      </c>
      <c r="H146" s="16">
        <v>45657</v>
      </c>
      <c r="I146" s="16">
        <v>46022</v>
      </c>
      <c r="J146" s="11" t="s">
        <v>99</v>
      </c>
      <c r="K146" s="12" t="s">
        <v>371</v>
      </c>
      <c r="L146" s="16">
        <v>45758</v>
      </c>
      <c r="M146" s="12" t="s">
        <v>87</v>
      </c>
      <c r="N146" s="11" t="s">
        <v>41</v>
      </c>
      <c r="O146" s="28">
        <v>6000000</v>
      </c>
      <c r="P146" s="2">
        <v>10</v>
      </c>
      <c r="Q146" s="25">
        <v>600000</v>
      </c>
      <c r="R146" s="28">
        <v>326895.01969117601</v>
      </c>
      <c r="S146" s="28">
        <v>0</v>
      </c>
      <c r="T146" s="28">
        <v>272668</v>
      </c>
      <c r="U146" s="25">
        <v>436.98030882398598</v>
      </c>
      <c r="V146" s="18">
        <v>0</v>
      </c>
      <c r="W146" s="18">
        <v>248129</v>
      </c>
      <c r="X146" s="13">
        <v>19000000</v>
      </c>
      <c r="Y146" s="13">
        <f t="shared" si="2"/>
        <v>17290000</v>
      </c>
      <c r="Z146" s="13"/>
      <c r="AA146" s="31"/>
      <c r="AB146" s="27"/>
    </row>
    <row r="147" spans="2:28">
      <c r="B147" s="11">
        <v>137</v>
      </c>
      <c r="C147" s="1" t="s">
        <v>372</v>
      </c>
      <c r="D147" s="1" t="s">
        <v>373</v>
      </c>
      <c r="E147" s="1" t="s">
        <v>374</v>
      </c>
      <c r="F147" s="29" t="s">
        <v>38</v>
      </c>
      <c r="G147" s="11">
        <v>2024</v>
      </c>
      <c r="H147" s="16">
        <v>45657</v>
      </c>
      <c r="I147" s="16">
        <v>46022</v>
      </c>
      <c r="J147" s="11">
        <v>2975</v>
      </c>
      <c r="K147" s="12" t="s">
        <v>375</v>
      </c>
      <c r="L147" s="16">
        <v>45671</v>
      </c>
      <c r="M147" s="12" t="s">
        <v>87</v>
      </c>
      <c r="N147" s="11" t="s">
        <v>41</v>
      </c>
      <c r="O147" s="28">
        <v>53456490</v>
      </c>
      <c r="P147" s="2">
        <v>10</v>
      </c>
      <c r="Q147" s="25">
        <v>5345649</v>
      </c>
      <c r="R147" s="28">
        <v>3076927.6669224901</v>
      </c>
      <c r="S147" s="28">
        <v>0</v>
      </c>
      <c r="T147" s="28">
        <v>2264618</v>
      </c>
      <c r="U147" s="25">
        <v>4103.3330775098875</v>
      </c>
      <c r="V147" s="18">
        <v>0</v>
      </c>
      <c r="W147" s="18">
        <v>2060803</v>
      </c>
      <c r="X147" s="13">
        <v>0</v>
      </c>
      <c r="Y147" s="13">
        <f t="shared" si="2"/>
        <v>0</v>
      </c>
      <c r="Z147" s="13"/>
      <c r="AA147" s="31"/>
      <c r="AB147" s="27"/>
    </row>
    <row r="148" spans="2:28">
      <c r="B148" s="11">
        <v>138</v>
      </c>
      <c r="C148" s="1" t="s">
        <v>376</v>
      </c>
      <c r="D148" s="1" t="s">
        <v>377</v>
      </c>
      <c r="E148" s="1" t="s">
        <v>378</v>
      </c>
      <c r="F148" s="29" t="s">
        <v>38</v>
      </c>
      <c r="G148" s="11">
        <v>2024</v>
      </c>
      <c r="H148" s="16">
        <v>45657</v>
      </c>
      <c r="I148" s="16">
        <v>46022</v>
      </c>
      <c r="J148" s="11">
        <v>29371</v>
      </c>
      <c r="K148" s="12" t="s">
        <v>86</v>
      </c>
      <c r="L148" s="16">
        <v>45771</v>
      </c>
      <c r="M148" s="12" t="s">
        <v>87</v>
      </c>
      <c r="N148" s="11" t="s">
        <v>41</v>
      </c>
      <c r="O148" s="25">
        <v>12250000</v>
      </c>
      <c r="P148" s="2">
        <v>20</v>
      </c>
      <c r="Q148" s="25">
        <v>2450000</v>
      </c>
      <c r="R148" s="25">
        <v>818890.58892825397</v>
      </c>
      <c r="S148" s="25">
        <v>0</v>
      </c>
      <c r="T148" s="25">
        <v>1629471</v>
      </c>
      <c r="U148" s="25">
        <v>1638.4110717461444</v>
      </c>
      <c r="V148" s="18">
        <v>0</v>
      </c>
      <c r="W148" s="13">
        <v>1482819</v>
      </c>
      <c r="X148" s="13">
        <v>0</v>
      </c>
      <c r="Y148" s="13">
        <f t="shared" si="2"/>
        <v>0</v>
      </c>
      <c r="Z148" s="13"/>
      <c r="AA148" s="31"/>
      <c r="AB148" s="27"/>
    </row>
    <row r="149" spans="2:28">
      <c r="B149" s="11">
        <v>139</v>
      </c>
      <c r="C149" s="1" t="s">
        <v>379</v>
      </c>
      <c r="D149" s="1" t="s">
        <v>380</v>
      </c>
      <c r="E149" s="1" t="s">
        <v>381</v>
      </c>
      <c r="F149" s="29" t="s">
        <v>38</v>
      </c>
      <c r="G149" s="11">
        <v>2024</v>
      </c>
      <c r="H149" s="16">
        <v>45657</v>
      </c>
      <c r="I149" s="16">
        <v>46022</v>
      </c>
      <c r="J149" s="11">
        <v>2975</v>
      </c>
      <c r="K149" s="12" t="s">
        <v>375</v>
      </c>
      <c r="L149" s="16">
        <v>45776</v>
      </c>
      <c r="M149" s="12" t="s">
        <v>87</v>
      </c>
      <c r="N149" s="11" t="s">
        <v>41</v>
      </c>
      <c r="O149" s="28">
        <v>7200000</v>
      </c>
      <c r="P149" s="2">
        <v>10</v>
      </c>
      <c r="Q149" s="25">
        <v>720000</v>
      </c>
      <c r="R149" s="28">
        <v>150000</v>
      </c>
      <c r="S149" s="28">
        <v>0</v>
      </c>
      <c r="T149" s="28">
        <v>569800</v>
      </c>
      <c r="U149" s="25">
        <v>200</v>
      </c>
      <c r="V149" s="18">
        <v>0</v>
      </c>
      <c r="W149" s="18">
        <v>518518</v>
      </c>
      <c r="X149" s="13">
        <v>20000000</v>
      </c>
      <c r="Y149" s="13">
        <f t="shared" si="2"/>
        <v>18200000</v>
      </c>
      <c r="Z149" s="13"/>
      <c r="AA149" s="31"/>
      <c r="AB149" s="27"/>
    </row>
    <row r="150" spans="2:28">
      <c r="B150" s="11">
        <v>140</v>
      </c>
      <c r="C150" s="1" t="s">
        <v>382</v>
      </c>
      <c r="D150" s="1" t="s">
        <v>383</v>
      </c>
      <c r="E150" s="1" t="s">
        <v>384</v>
      </c>
      <c r="F150" s="29" t="s">
        <v>38</v>
      </c>
      <c r="G150" s="11">
        <v>2024</v>
      </c>
      <c r="H150" s="16">
        <v>45657</v>
      </c>
      <c r="I150" s="16">
        <v>46022</v>
      </c>
      <c r="J150" s="11">
        <v>2975</v>
      </c>
      <c r="K150" s="12" t="s">
        <v>375</v>
      </c>
      <c r="L150" s="16">
        <v>45709</v>
      </c>
      <c r="M150" s="12" t="s">
        <v>87</v>
      </c>
      <c r="N150" s="11" t="s">
        <v>41</v>
      </c>
      <c r="O150" s="25">
        <v>1960000</v>
      </c>
      <c r="P150" s="2">
        <v>10</v>
      </c>
      <c r="Q150" s="25">
        <v>196000</v>
      </c>
      <c r="R150" s="25">
        <v>73500</v>
      </c>
      <c r="S150" s="25">
        <v>0</v>
      </c>
      <c r="T150" s="25">
        <v>122402</v>
      </c>
      <c r="U150" s="25">
        <v>98</v>
      </c>
      <c r="V150" s="18">
        <v>0</v>
      </c>
      <c r="W150" s="13">
        <v>111386</v>
      </c>
      <c r="X150" s="13">
        <v>0</v>
      </c>
      <c r="Y150" s="13">
        <f t="shared" si="2"/>
        <v>0</v>
      </c>
      <c r="Z150" s="13"/>
      <c r="AA150" s="31"/>
      <c r="AB150" s="27"/>
    </row>
    <row r="151" spans="2:28">
      <c r="B151" s="11">
        <v>141</v>
      </c>
      <c r="C151" s="1" t="s">
        <v>385</v>
      </c>
      <c r="D151" s="1" t="s">
        <v>386</v>
      </c>
      <c r="E151" s="1" t="s">
        <v>387</v>
      </c>
      <c r="F151" s="29" t="s">
        <v>38</v>
      </c>
      <c r="G151" s="11">
        <v>2024</v>
      </c>
      <c r="H151" s="16">
        <v>45692</v>
      </c>
      <c r="I151" s="16">
        <v>46022</v>
      </c>
      <c r="J151" s="11">
        <v>29371</v>
      </c>
      <c r="K151" s="12" t="s">
        <v>388</v>
      </c>
      <c r="L151" s="16">
        <v>45750</v>
      </c>
      <c r="M151" s="12" t="s">
        <v>87</v>
      </c>
      <c r="N151" s="11" t="s">
        <v>41</v>
      </c>
      <c r="O151" s="25">
        <v>22963232</v>
      </c>
      <c r="P151" s="2">
        <v>20</v>
      </c>
      <c r="Q151" s="25">
        <v>4592646.4000000004</v>
      </c>
      <c r="R151" s="25">
        <v>2749798.9624114898</v>
      </c>
      <c r="S151" s="25">
        <v>0</v>
      </c>
      <c r="T151" s="25">
        <v>1837348</v>
      </c>
      <c r="U151" s="25">
        <v>5499.4375885105692</v>
      </c>
      <c r="V151" s="18">
        <v>0</v>
      </c>
      <c r="W151" s="13">
        <v>1671987</v>
      </c>
      <c r="X151" s="13">
        <v>29000000</v>
      </c>
      <c r="Y151" s="13">
        <f t="shared" si="2"/>
        <v>26390000</v>
      </c>
      <c r="Z151" s="13"/>
      <c r="AA151" s="31"/>
      <c r="AB151" s="27"/>
    </row>
    <row r="152" spans="2:28">
      <c r="B152" s="11">
        <v>142</v>
      </c>
      <c r="C152" s="1" t="s">
        <v>389</v>
      </c>
      <c r="D152" s="1" t="s">
        <v>390</v>
      </c>
      <c r="E152" s="1" t="s">
        <v>391</v>
      </c>
      <c r="F152" s="29" t="s">
        <v>38</v>
      </c>
      <c r="G152" s="11">
        <v>2024</v>
      </c>
      <c r="H152" s="16">
        <v>45657</v>
      </c>
      <c r="I152" s="16">
        <v>46022</v>
      </c>
      <c r="J152" s="11">
        <v>2975</v>
      </c>
      <c r="K152" s="12" t="s">
        <v>205</v>
      </c>
      <c r="L152" s="16">
        <v>45769</v>
      </c>
      <c r="M152" s="12" t="s">
        <v>87</v>
      </c>
      <c r="N152" s="11" t="s">
        <v>41</v>
      </c>
      <c r="O152" s="25">
        <v>6822394</v>
      </c>
      <c r="P152" s="2">
        <v>10</v>
      </c>
      <c r="Q152" s="25">
        <v>682239.4</v>
      </c>
      <c r="R152" s="25">
        <v>204671.82</v>
      </c>
      <c r="S152" s="25">
        <v>0</v>
      </c>
      <c r="T152" s="25">
        <v>108158</v>
      </c>
      <c r="U152" s="25">
        <v>369409.58</v>
      </c>
      <c r="V152" s="18">
        <v>0</v>
      </c>
      <c r="W152" s="13">
        <v>98424</v>
      </c>
      <c r="X152" s="13">
        <v>0</v>
      </c>
      <c r="Y152" s="13">
        <f t="shared" si="2"/>
        <v>0</v>
      </c>
      <c r="Z152" s="13"/>
      <c r="AA152" s="31"/>
      <c r="AB152" s="27"/>
    </row>
    <row r="153" spans="2:28">
      <c r="B153" s="11">
        <v>143</v>
      </c>
      <c r="C153" s="1" t="s">
        <v>392</v>
      </c>
      <c r="D153" s="1" t="s">
        <v>390</v>
      </c>
      <c r="E153" s="1" t="s">
        <v>391</v>
      </c>
      <c r="F153" s="29" t="s">
        <v>38</v>
      </c>
      <c r="G153" s="11">
        <v>2024</v>
      </c>
      <c r="H153" s="16">
        <v>45657</v>
      </c>
      <c r="I153" s="16">
        <v>46022</v>
      </c>
      <c r="J153" s="11">
        <v>2975</v>
      </c>
      <c r="K153" s="12" t="s">
        <v>205</v>
      </c>
      <c r="L153" s="16">
        <v>45790</v>
      </c>
      <c r="M153" s="12" t="s">
        <v>87</v>
      </c>
      <c r="N153" s="11" t="s">
        <v>41</v>
      </c>
      <c r="O153" s="25">
        <v>6822394</v>
      </c>
      <c r="P153" s="2">
        <v>10</v>
      </c>
      <c r="Q153" s="25">
        <v>682239.4</v>
      </c>
      <c r="R153" s="25">
        <v>204671.82</v>
      </c>
      <c r="S153" s="25">
        <v>0</v>
      </c>
      <c r="T153" s="25">
        <v>211727</v>
      </c>
      <c r="U153" s="25">
        <v>265840.58</v>
      </c>
      <c r="V153" s="18">
        <v>0</v>
      </c>
      <c r="W153" s="13">
        <v>192671</v>
      </c>
      <c r="X153" s="13">
        <v>9500000</v>
      </c>
      <c r="Y153" s="13">
        <f t="shared" si="2"/>
        <v>8645000</v>
      </c>
      <c r="Z153" s="13"/>
      <c r="AA153" s="31"/>
      <c r="AB153" s="27"/>
    </row>
    <row r="154" spans="2:28">
      <c r="B154" s="11">
        <v>144</v>
      </c>
      <c r="C154" s="1" t="s">
        <v>393</v>
      </c>
      <c r="D154" s="1" t="s">
        <v>390</v>
      </c>
      <c r="E154" s="1" t="s">
        <v>391</v>
      </c>
      <c r="F154" s="29" t="s">
        <v>38</v>
      </c>
      <c r="G154" s="11">
        <v>2024</v>
      </c>
      <c r="H154" s="16">
        <v>45657</v>
      </c>
      <c r="I154" s="16">
        <v>46022</v>
      </c>
      <c r="J154" s="11">
        <v>2975</v>
      </c>
      <c r="K154" s="12" t="s">
        <v>205</v>
      </c>
      <c r="L154" s="16">
        <v>45821</v>
      </c>
      <c r="M154" s="12" t="s">
        <v>87</v>
      </c>
      <c r="N154" s="11" t="s">
        <v>41</v>
      </c>
      <c r="O154" s="28">
        <v>6822394</v>
      </c>
      <c r="P154" s="2">
        <v>10</v>
      </c>
      <c r="Q154" s="25">
        <v>682239.4</v>
      </c>
      <c r="R154" s="28">
        <v>204671.82</v>
      </c>
      <c r="S154" s="28">
        <v>0</v>
      </c>
      <c r="T154" s="28">
        <v>157410</v>
      </c>
      <c r="U154" s="25">
        <v>320157.58</v>
      </c>
      <c r="V154" s="18">
        <v>0</v>
      </c>
      <c r="W154" s="18">
        <v>143243</v>
      </c>
      <c r="X154" s="13">
        <v>0</v>
      </c>
      <c r="Y154" s="13">
        <f t="shared" si="2"/>
        <v>0</v>
      </c>
      <c r="Z154" s="13"/>
      <c r="AA154" s="31"/>
      <c r="AB154" s="27"/>
    </row>
    <row r="155" spans="2:28">
      <c r="B155" s="11">
        <v>145</v>
      </c>
      <c r="C155" s="1" t="s">
        <v>394</v>
      </c>
      <c r="D155" s="1" t="s">
        <v>395</v>
      </c>
      <c r="E155" s="1" t="s">
        <v>396</v>
      </c>
      <c r="F155" s="29" t="s">
        <v>38</v>
      </c>
      <c r="G155" s="11">
        <v>2024</v>
      </c>
      <c r="H155" s="16">
        <v>45634</v>
      </c>
      <c r="I155" s="16">
        <v>45999</v>
      </c>
      <c r="J155" s="11">
        <v>2790</v>
      </c>
      <c r="K155" s="12" t="s">
        <v>397</v>
      </c>
      <c r="L155" s="16">
        <v>45663</v>
      </c>
      <c r="M155" s="12" t="s">
        <v>87</v>
      </c>
      <c r="N155" s="11" t="s">
        <v>41</v>
      </c>
      <c r="O155" s="25">
        <v>24444000</v>
      </c>
      <c r="P155" s="2">
        <v>16.5</v>
      </c>
      <c r="Q155" s="25">
        <v>4033260</v>
      </c>
      <c r="R155" s="25">
        <v>339985.65219369403</v>
      </c>
      <c r="S155" s="25">
        <v>0</v>
      </c>
      <c r="T155" s="25">
        <v>3692713</v>
      </c>
      <c r="U155" s="25">
        <v>561.34780630609021</v>
      </c>
      <c r="V155" s="18">
        <v>0</v>
      </c>
      <c r="W155" s="13">
        <v>3360369</v>
      </c>
      <c r="X155" s="13">
        <v>0</v>
      </c>
      <c r="Y155" s="13">
        <f t="shared" si="2"/>
        <v>0</v>
      </c>
      <c r="Z155" s="13"/>
      <c r="AA155" s="31"/>
      <c r="AB155" s="27"/>
    </row>
    <row r="156" spans="2:28">
      <c r="B156" s="11">
        <v>146</v>
      </c>
      <c r="C156" s="1" t="s">
        <v>398</v>
      </c>
      <c r="D156" s="1" t="s">
        <v>399</v>
      </c>
      <c r="E156" s="1" t="s">
        <v>400</v>
      </c>
      <c r="F156" s="29" t="s">
        <v>38</v>
      </c>
      <c r="G156" s="11">
        <v>2024</v>
      </c>
      <c r="H156" s="16">
        <v>45444</v>
      </c>
      <c r="I156" s="16">
        <v>45992</v>
      </c>
      <c r="J156" s="11">
        <v>2975</v>
      </c>
      <c r="K156" s="12" t="s">
        <v>401</v>
      </c>
      <c r="L156" s="16">
        <v>45741</v>
      </c>
      <c r="M156" s="12" t="s">
        <v>87</v>
      </c>
      <c r="N156" s="11" t="s">
        <v>41</v>
      </c>
      <c r="O156" s="25">
        <v>8000000</v>
      </c>
      <c r="P156" s="2">
        <v>10</v>
      </c>
      <c r="Q156" s="25">
        <v>800000</v>
      </c>
      <c r="R156" s="25">
        <v>219780.21978021899</v>
      </c>
      <c r="S156" s="25">
        <v>0</v>
      </c>
      <c r="T156" s="25">
        <v>579927</v>
      </c>
      <c r="U156" s="25">
        <v>292.78021978097968</v>
      </c>
      <c r="V156" s="18">
        <v>0</v>
      </c>
      <c r="W156" s="13">
        <v>527733</v>
      </c>
      <c r="X156" s="13">
        <v>0</v>
      </c>
      <c r="Y156" s="13">
        <f t="shared" si="2"/>
        <v>0</v>
      </c>
      <c r="Z156" s="13"/>
      <c r="AA156" s="31"/>
      <c r="AB156" s="27"/>
    </row>
    <row r="157" spans="2:28">
      <c r="B157" s="11">
        <v>147</v>
      </c>
      <c r="C157" s="1" t="s">
        <v>402</v>
      </c>
      <c r="D157" s="1" t="s">
        <v>403</v>
      </c>
      <c r="E157" s="1" t="s">
        <v>404</v>
      </c>
      <c r="F157" s="29" t="s">
        <v>38</v>
      </c>
      <c r="G157" s="11">
        <v>2024</v>
      </c>
      <c r="H157" s="16">
        <v>45444</v>
      </c>
      <c r="I157" s="16">
        <v>45992</v>
      </c>
      <c r="J157" s="11">
        <v>2975</v>
      </c>
      <c r="K157" s="12" t="s">
        <v>405</v>
      </c>
      <c r="L157" s="16">
        <v>45568</v>
      </c>
      <c r="M157" s="12" t="s">
        <v>87</v>
      </c>
      <c r="N157" s="11" t="s">
        <v>41</v>
      </c>
      <c r="O157" s="25">
        <v>235923840</v>
      </c>
      <c r="P157" s="2">
        <v>10</v>
      </c>
      <c r="Q157" s="25">
        <v>23592384</v>
      </c>
      <c r="R157" s="25">
        <v>15386337.3913044</v>
      </c>
      <c r="S157" s="25">
        <v>0</v>
      </c>
      <c r="T157" s="25">
        <v>8185533</v>
      </c>
      <c r="U157" s="25">
        <v>20513.608695600182</v>
      </c>
      <c r="V157" s="18">
        <v>0</v>
      </c>
      <c r="W157" s="13">
        <v>7448834</v>
      </c>
      <c r="X157" s="13">
        <v>235923840</v>
      </c>
      <c r="Y157" s="13">
        <f t="shared" si="2"/>
        <v>214690694.40000001</v>
      </c>
      <c r="Z157" s="13"/>
      <c r="AA157" s="31"/>
      <c r="AB157" s="27"/>
    </row>
    <row r="158" spans="2:28">
      <c r="B158" s="11">
        <v>148</v>
      </c>
      <c r="C158" s="1" t="s">
        <v>406</v>
      </c>
      <c r="D158" s="1" t="s">
        <v>407</v>
      </c>
      <c r="E158" s="1" t="s">
        <v>408</v>
      </c>
      <c r="F158" s="29" t="s">
        <v>38</v>
      </c>
      <c r="G158" s="11">
        <v>2024</v>
      </c>
      <c r="H158" s="16">
        <v>45444</v>
      </c>
      <c r="I158" s="16">
        <v>45992</v>
      </c>
      <c r="J158" s="11">
        <v>2972</v>
      </c>
      <c r="K158" s="12" t="s">
        <v>409</v>
      </c>
      <c r="L158" s="16">
        <v>45665</v>
      </c>
      <c r="M158" s="12" t="s">
        <v>87</v>
      </c>
      <c r="N158" s="11" t="s">
        <v>41</v>
      </c>
      <c r="O158" s="25">
        <v>80435040</v>
      </c>
      <c r="P158" s="2">
        <v>10</v>
      </c>
      <c r="Q158" s="25">
        <v>8043504</v>
      </c>
      <c r="R158" s="25">
        <v>1723608</v>
      </c>
      <c r="S158" s="25">
        <v>0</v>
      </c>
      <c r="T158" s="25">
        <v>4204990</v>
      </c>
      <c r="U158" s="25">
        <v>2114906</v>
      </c>
      <c r="V158" s="18">
        <v>0</v>
      </c>
      <c r="W158" s="13">
        <v>3826541</v>
      </c>
      <c r="X158" s="13">
        <v>0</v>
      </c>
      <c r="Y158" s="13">
        <f t="shared" si="2"/>
        <v>0</v>
      </c>
      <c r="Z158" s="13"/>
      <c r="AA158" s="31"/>
      <c r="AB158" s="27"/>
    </row>
    <row r="159" spans="2:28">
      <c r="B159" s="11">
        <v>149</v>
      </c>
      <c r="C159" s="1" t="s">
        <v>410</v>
      </c>
      <c r="D159" s="1" t="s">
        <v>407</v>
      </c>
      <c r="E159" s="1" t="s">
        <v>408</v>
      </c>
      <c r="F159" s="29" t="s">
        <v>38</v>
      </c>
      <c r="G159" s="11">
        <v>2024</v>
      </c>
      <c r="H159" s="16">
        <v>45444</v>
      </c>
      <c r="I159" s="16">
        <v>45992</v>
      </c>
      <c r="J159" s="11">
        <v>2972</v>
      </c>
      <c r="K159" s="12" t="s">
        <v>409</v>
      </c>
      <c r="L159" s="16">
        <v>45733</v>
      </c>
      <c r="M159" s="12" t="s">
        <v>87</v>
      </c>
      <c r="N159" s="11" t="s">
        <v>41</v>
      </c>
      <c r="O159" s="25">
        <v>80435040</v>
      </c>
      <c r="P159" s="2">
        <v>10</v>
      </c>
      <c r="Q159" s="25">
        <v>8043504</v>
      </c>
      <c r="R159" s="25">
        <v>1723608</v>
      </c>
      <c r="S159" s="25">
        <v>0</v>
      </c>
      <c r="T159" s="25">
        <v>2112607</v>
      </c>
      <c r="U159" s="25">
        <v>4207289</v>
      </c>
      <c r="V159" s="18">
        <v>0</v>
      </c>
      <c r="W159" s="13">
        <v>1922473</v>
      </c>
      <c r="X159" s="13">
        <v>0</v>
      </c>
      <c r="Y159" s="13">
        <f t="shared" si="2"/>
        <v>0</v>
      </c>
      <c r="Z159" s="13"/>
      <c r="AA159" s="31"/>
      <c r="AB159" s="27"/>
    </row>
    <row r="160" spans="2:28">
      <c r="B160" s="11">
        <v>150</v>
      </c>
      <c r="C160" s="1" t="s">
        <v>411</v>
      </c>
      <c r="D160" s="1" t="s">
        <v>412</v>
      </c>
      <c r="E160" s="1" t="s">
        <v>413</v>
      </c>
      <c r="F160" s="29" t="s">
        <v>38</v>
      </c>
      <c r="G160" s="11">
        <v>2024</v>
      </c>
      <c r="H160" s="16">
        <v>45580</v>
      </c>
      <c r="I160" s="16">
        <v>45992</v>
      </c>
      <c r="J160" s="11">
        <v>2972</v>
      </c>
      <c r="K160" s="12" t="s">
        <v>414</v>
      </c>
      <c r="L160" s="16">
        <v>45780</v>
      </c>
      <c r="M160" s="12" t="s">
        <v>87</v>
      </c>
      <c r="N160" s="11" t="s">
        <v>41</v>
      </c>
      <c r="O160" s="25">
        <v>107658060</v>
      </c>
      <c r="P160" s="2">
        <v>10</v>
      </c>
      <c r="Q160" s="25">
        <v>10765806</v>
      </c>
      <c r="R160" s="25">
        <v>7063436.6353990398</v>
      </c>
      <c r="S160" s="25">
        <v>0</v>
      </c>
      <c r="T160" s="25">
        <v>3692952</v>
      </c>
      <c r="U160" s="25">
        <v>9417.3646009601653</v>
      </c>
      <c r="V160" s="18">
        <v>0</v>
      </c>
      <c r="W160" s="13">
        <v>3360586</v>
      </c>
      <c r="X160" s="13">
        <v>0</v>
      </c>
      <c r="Y160" s="13">
        <f t="shared" si="2"/>
        <v>0</v>
      </c>
      <c r="Z160" s="13"/>
      <c r="AA160" s="31"/>
      <c r="AB160" s="27"/>
    </row>
    <row r="161" spans="2:28">
      <c r="B161" s="11">
        <v>151</v>
      </c>
      <c r="C161" s="1" t="s">
        <v>415</v>
      </c>
      <c r="D161" s="1" t="s">
        <v>416</v>
      </c>
      <c r="E161" s="1" t="s">
        <v>417</v>
      </c>
      <c r="F161" s="29" t="s">
        <v>38</v>
      </c>
      <c r="G161" s="11">
        <v>2024</v>
      </c>
      <c r="H161" s="16">
        <v>45443</v>
      </c>
      <c r="I161" s="16">
        <v>45808</v>
      </c>
      <c r="J161" s="11">
        <v>2413</v>
      </c>
      <c r="K161" s="12" t="s">
        <v>418</v>
      </c>
      <c r="L161" s="16">
        <v>45605</v>
      </c>
      <c r="M161" s="12" t="s">
        <v>87</v>
      </c>
      <c r="N161" s="11" t="s">
        <v>41</v>
      </c>
      <c r="O161" s="25">
        <v>275077647.89999998</v>
      </c>
      <c r="P161" s="2">
        <v>10</v>
      </c>
      <c r="Q161" s="25">
        <v>27507764.789999999</v>
      </c>
      <c r="R161" s="25">
        <v>3663427.0190435802</v>
      </c>
      <c r="S161" s="25">
        <v>0</v>
      </c>
      <c r="T161" s="25">
        <v>23816427</v>
      </c>
      <c r="U161" s="25">
        <v>27910.770956419408</v>
      </c>
      <c r="V161" s="18">
        <v>0</v>
      </c>
      <c r="W161" s="13">
        <v>21672948</v>
      </c>
      <c r="X161" s="13">
        <v>540000000</v>
      </c>
      <c r="Y161" s="13">
        <f t="shared" si="2"/>
        <v>491400000</v>
      </c>
      <c r="Z161" s="13"/>
      <c r="AA161" s="31"/>
      <c r="AB161" s="27"/>
    </row>
    <row r="162" spans="2:28">
      <c r="B162" s="11">
        <v>152</v>
      </c>
      <c r="C162" s="1" t="s">
        <v>419</v>
      </c>
      <c r="D162" s="1" t="s">
        <v>420</v>
      </c>
      <c r="E162" s="1" t="s">
        <v>421</v>
      </c>
      <c r="F162" s="29" t="s">
        <v>38</v>
      </c>
      <c r="G162" s="11">
        <v>2024</v>
      </c>
      <c r="H162" s="16">
        <v>45474</v>
      </c>
      <c r="I162" s="16">
        <v>45839</v>
      </c>
      <c r="J162" s="11">
        <v>2462</v>
      </c>
      <c r="K162" s="12" t="s">
        <v>422</v>
      </c>
      <c r="L162" s="16">
        <v>45789</v>
      </c>
      <c r="M162" s="12" t="s">
        <v>87</v>
      </c>
      <c r="N162" s="11" t="s">
        <v>41</v>
      </c>
      <c r="O162" s="25">
        <v>75209592.709999993</v>
      </c>
      <c r="P162" s="2">
        <v>10</v>
      </c>
      <c r="Q162" s="25">
        <v>7520959.2709999997</v>
      </c>
      <c r="R162" s="25">
        <v>1607687.3906106499</v>
      </c>
      <c r="S162" s="25">
        <v>0</v>
      </c>
      <c r="T162" s="25">
        <v>5901022</v>
      </c>
      <c r="U162" s="25">
        <v>12249.880389349535</v>
      </c>
      <c r="V162" s="18">
        <v>0</v>
      </c>
      <c r="W162" s="13">
        <v>5369931</v>
      </c>
      <c r="X162" s="13">
        <v>0</v>
      </c>
      <c r="Y162" s="13">
        <f t="shared" si="2"/>
        <v>0</v>
      </c>
      <c r="Z162" s="13"/>
      <c r="AA162" s="31"/>
      <c r="AB162" s="27"/>
    </row>
    <row r="163" spans="2:28">
      <c r="B163" s="11">
        <v>153</v>
      </c>
      <c r="C163" s="1" t="s">
        <v>423</v>
      </c>
      <c r="D163" s="1" t="s">
        <v>424</v>
      </c>
      <c r="E163" s="1" t="s">
        <v>425</v>
      </c>
      <c r="F163" s="29" t="s">
        <v>38</v>
      </c>
      <c r="G163" s="11">
        <v>2024</v>
      </c>
      <c r="H163" s="16">
        <v>45360</v>
      </c>
      <c r="I163" s="16">
        <v>45748</v>
      </c>
      <c r="J163" s="11">
        <v>27111</v>
      </c>
      <c r="K163" s="12" t="s">
        <v>426</v>
      </c>
      <c r="L163" s="16">
        <v>45704</v>
      </c>
      <c r="M163" s="12" t="s">
        <v>269</v>
      </c>
      <c r="N163" s="11" t="s">
        <v>41</v>
      </c>
      <c r="O163" s="25">
        <v>521846.46</v>
      </c>
      <c r="P163" s="2">
        <v>100</v>
      </c>
      <c r="Q163" s="25">
        <v>521846.46</v>
      </c>
      <c r="R163" s="25">
        <v>204346.803128047</v>
      </c>
      <c r="S163" s="25">
        <v>0</v>
      </c>
      <c r="T163" s="25">
        <v>317500</v>
      </c>
      <c r="U163" s="25">
        <v>-0.34312804695218801</v>
      </c>
      <c r="V163" s="18">
        <v>0</v>
      </c>
      <c r="W163" s="13">
        <v>288925</v>
      </c>
      <c r="X163" s="13">
        <v>0</v>
      </c>
      <c r="Y163" s="13">
        <f t="shared" si="2"/>
        <v>0</v>
      </c>
      <c r="Z163" s="13"/>
      <c r="AA163" s="31"/>
      <c r="AB163" s="27"/>
    </row>
    <row r="164" spans="2:28">
      <c r="B164" s="11">
        <v>154</v>
      </c>
      <c r="C164" s="1" t="s">
        <v>79</v>
      </c>
      <c r="D164" s="1" t="s">
        <v>80</v>
      </c>
      <c r="E164" s="1" t="s">
        <v>81</v>
      </c>
      <c r="F164" s="29" t="s">
        <v>38</v>
      </c>
      <c r="G164" s="11">
        <v>2025</v>
      </c>
      <c r="H164" s="16">
        <v>45777</v>
      </c>
      <c r="I164" s="16">
        <v>46142</v>
      </c>
      <c r="J164" s="11">
        <v>2951</v>
      </c>
      <c r="K164" s="12" t="s">
        <v>82</v>
      </c>
      <c r="L164" s="16">
        <v>45790</v>
      </c>
      <c r="M164" s="12" t="s">
        <v>40</v>
      </c>
      <c r="N164" s="11" t="s">
        <v>41</v>
      </c>
      <c r="O164" s="25">
        <v>97670693</v>
      </c>
      <c r="P164" s="2">
        <v>100</v>
      </c>
      <c r="Q164" s="25">
        <v>97670693</v>
      </c>
      <c r="R164" s="25">
        <v>41241066.117156997</v>
      </c>
      <c r="S164" s="25">
        <v>0</v>
      </c>
      <c r="T164" s="25">
        <v>38460305</v>
      </c>
      <c r="U164" s="25">
        <v>17969321.882843003</v>
      </c>
      <c r="V164" s="18">
        <v>0</v>
      </c>
      <c r="W164" s="13">
        <v>37306496</v>
      </c>
      <c r="X164" s="13">
        <v>113385000</v>
      </c>
      <c r="Y164" s="13">
        <f t="shared" ref="Y164:Y166" si="3">X164*97%</f>
        <v>109983450</v>
      </c>
      <c r="Z164" s="13"/>
      <c r="AA164" s="31"/>
      <c r="AB164" s="27"/>
    </row>
    <row r="165" spans="2:28">
      <c r="B165" s="11">
        <v>155</v>
      </c>
      <c r="C165" s="1" t="s">
        <v>96</v>
      </c>
      <c r="D165" s="1" t="s">
        <v>97</v>
      </c>
      <c r="E165" s="1" t="s">
        <v>98</v>
      </c>
      <c r="F165" s="29" t="s">
        <v>38</v>
      </c>
      <c r="G165" s="11">
        <v>2025</v>
      </c>
      <c r="H165" s="16">
        <v>45710</v>
      </c>
      <c r="I165" s="16">
        <v>46022</v>
      </c>
      <c r="J165" s="11" t="s">
        <v>99</v>
      </c>
      <c r="K165" s="12" t="s">
        <v>100</v>
      </c>
      <c r="L165" s="16">
        <v>45773</v>
      </c>
      <c r="M165" s="12" t="s">
        <v>87</v>
      </c>
      <c r="N165" s="11" t="s">
        <v>41</v>
      </c>
      <c r="O165" s="25">
        <v>22620000</v>
      </c>
      <c r="P165" s="2">
        <v>10</v>
      </c>
      <c r="Q165" s="25">
        <v>2262000</v>
      </c>
      <c r="R165" s="25">
        <v>1506632.5737119601</v>
      </c>
      <c r="S165" s="25">
        <v>0</v>
      </c>
      <c r="T165" s="25">
        <v>108233</v>
      </c>
      <c r="U165" s="25">
        <v>647134.42628803989</v>
      </c>
      <c r="V165" s="18">
        <v>0</v>
      </c>
      <c r="W165" s="13">
        <v>104986</v>
      </c>
      <c r="X165" s="13">
        <v>10000000</v>
      </c>
      <c r="Y165" s="13">
        <f t="shared" si="3"/>
        <v>9700000</v>
      </c>
      <c r="Z165" s="13"/>
      <c r="AA165" s="31"/>
      <c r="AB165" s="27"/>
    </row>
    <row r="166" spans="2:28">
      <c r="B166" s="11">
        <v>156</v>
      </c>
      <c r="C166" s="1" t="s">
        <v>427</v>
      </c>
      <c r="D166" s="1" t="s">
        <v>428</v>
      </c>
      <c r="E166" s="1" t="s">
        <v>429</v>
      </c>
      <c r="F166" s="29" t="s">
        <v>38</v>
      </c>
      <c r="G166" s="11">
        <v>2025</v>
      </c>
      <c r="H166" s="16">
        <v>45717</v>
      </c>
      <c r="I166" s="16">
        <v>46082</v>
      </c>
      <c r="J166" s="11">
        <v>236</v>
      </c>
      <c r="K166" s="12" t="s">
        <v>430</v>
      </c>
      <c r="L166" s="16">
        <v>45723</v>
      </c>
      <c r="M166" s="12" t="s">
        <v>87</v>
      </c>
      <c r="N166" s="11" t="s">
        <v>431</v>
      </c>
      <c r="O166" s="25">
        <v>12616.220000000001</v>
      </c>
      <c r="P166" s="2">
        <v>7.5</v>
      </c>
      <c r="Q166" s="25">
        <v>946.2165</v>
      </c>
      <c r="R166" s="25">
        <v>141.967966991748</v>
      </c>
      <c r="S166" s="25">
        <v>60.85</v>
      </c>
      <c r="T166" s="25">
        <v>0</v>
      </c>
      <c r="U166" s="25">
        <v>743.398533008252</v>
      </c>
      <c r="V166" s="18">
        <v>59.02</v>
      </c>
      <c r="W166" s="13">
        <v>0</v>
      </c>
      <c r="X166" s="13">
        <v>0</v>
      </c>
      <c r="Y166" s="13">
        <f t="shared" si="3"/>
        <v>0</v>
      </c>
      <c r="Z166" s="13"/>
      <c r="AA166" s="31"/>
      <c r="AB166" s="27"/>
    </row>
    <row r="167" spans="2:28">
      <c r="B167" s="11">
        <v>157</v>
      </c>
      <c r="C167" s="1" t="s">
        <v>432</v>
      </c>
      <c r="D167" s="1" t="s">
        <v>170</v>
      </c>
      <c r="E167" s="1" t="s">
        <v>171</v>
      </c>
      <c r="F167" s="29" t="s">
        <v>38</v>
      </c>
      <c r="G167" s="11">
        <v>2023</v>
      </c>
      <c r="H167" s="16">
        <v>45230</v>
      </c>
      <c r="I167" s="16">
        <v>45596</v>
      </c>
      <c r="J167" s="11">
        <v>2761</v>
      </c>
      <c r="K167" s="12" t="s">
        <v>172</v>
      </c>
      <c r="L167" s="16">
        <v>45462</v>
      </c>
      <c r="M167" s="12" t="s">
        <v>87</v>
      </c>
      <c r="N167" s="11" t="s">
        <v>431</v>
      </c>
      <c r="O167" s="25">
        <v>9313.0499999999993</v>
      </c>
      <c r="P167" s="2">
        <v>10</v>
      </c>
      <c r="Q167" s="25">
        <v>931.30499999999995</v>
      </c>
      <c r="R167" s="25">
        <v>-70.850259365224105</v>
      </c>
      <c r="S167" s="25">
        <v>0</v>
      </c>
      <c r="T167" s="25">
        <v>883.87</v>
      </c>
      <c r="U167" s="25">
        <v>118.28525936522408</v>
      </c>
      <c r="V167" s="18">
        <v>0</v>
      </c>
      <c r="W167" s="13">
        <v>671.74</v>
      </c>
      <c r="X167" s="13">
        <v>0</v>
      </c>
      <c r="Y167" s="13">
        <f t="shared" ref="Y167:Y171" si="4">X167*76%</f>
        <v>0</v>
      </c>
      <c r="Z167" s="13"/>
      <c r="AA167" s="31"/>
      <c r="AB167" s="27"/>
    </row>
    <row r="168" spans="2:28">
      <c r="B168" s="11">
        <v>158</v>
      </c>
      <c r="C168" s="1" t="s">
        <v>433</v>
      </c>
      <c r="D168" s="1" t="s">
        <v>434</v>
      </c>
      <c r="E168" s="1" t="s">
        <v>435</v>
      </c>
      <c r="F168" s="29" t="s">
        <v>38</v>
      </c>
      <c r="G168" s="11">
        <v>2023</v>
      </c>
      <c r="H168" s="16">
        <v>45291</v>
      </c>
      <c r="I168" s="16">
        <v>45657</v>
      </c>
      <c r="J168" s="11">
        <v>2748</v>
      </c>
      <c r="K168" s="12" t="s">
        <v>436</v>
      </c>
      <c r="L168" s="16">
        <v>45613</v>
      </c>
      <c r="M168" s="12" t="s">
        <v>87</v>
      </c>
      <c r="N168" s="11" t="s">
        <v>431</v>
      </c>
      <c r="O168" s="25">
        <v>540412.89</v>
      </c>
      <c r="P168" s="2">
        <v>11.5</v>
      </c>
      <c r="Q168" s="25">
        <v>62147.482349999998</v>
      </c>
      <c r="R168" s="25">
        <v>1307.4328776806001</v>
      </c>
      <c r="S168" s="25">
        <v>0</v>
      </c>
      <c r="T168" s="25">
        <v>14799.14</v>
      </c>
      <c r="U168" s="25">
        <v>46040.909472319399</v>
      </c>
      <c r="V168" s="18">
        <v>0</v>
      </c>
      <c r="W168" s="13">
        <v>11247.35</v>
      </c>
      <c r="X168" s="13">
        <v>728856.33</v>
      </c>
      <c r="Y168" s="13">
        <f t="shared" si="4"/>
        <v>553930.81079999998</v>
      </c>
      <c r="Z168" s="13"/>
      <c r="AA168" s="31"/>
      <c r="AB168" s="27"/>
    </row>
    <row r="169" spans="2:28">
      <c r="B169" s="11">
        <v>159</v>
      </c>
      <c r="C169" s="1" t="s">
        <v>223</v>
      </c>
      <c r="D169" s="1" t="s">
        <v>224</v>
      </c>
      <c r="E169" s="1" t="s">
        <v>225</v>
      </c>
      <c r="F169" s="29" t="s">
        <v>38</v>
      </c>
      <c r="G169" s="11">
        <v>2023</v>
      </c>
      <c r="H169" s="16">
        <v>45138</v>
      </c>
      <c r="I169" s="16">
        <v>45504</v>
      </c>
      <c r="J169" s="11">
        <v>2734</v>
      </c>
      <c r="K169" s="12" t="s">
        <v>226</v>
      </c>
      <c r="L169" s="16">
        <v>45383</v>
      </c>
      <c r="M169" s="12" t="s">
        <v>87</v>
      </c>
      <c r="N169" s="11" t="s">
        <v>431</v>
      </c>
      <c r="O169" s="28">
        <v>31325.109999999997</v>
      </c>
      <c r="P169" s="2">
        <v>10</v>
      </c>
      <c r="Q169" s="25">
        <v>3132.511</v>
      </c>
      <c r="R169" s="28">
        <v>1377.0948945830801</v>
      </c>
      <c r="S169" s="28">
        <v>0</v>
      </c>
      <c r="T169" s="28">
        <v>1753.11</v>
      </c>
      <c r="U169" s="25">
        <v>2.3061054169199906</v>
      </c>
      <c r="V169" s="18">
        <v>0</v>
      </c>
      <c r="W169" s="18">
        <v>1332.37</v>
      </c>
      <c r="X169" s="13">
        <v>0</v>
      </c>
      <c r="Y169" s="13">
        <f t="shared" si="4"/>
        <v>0</v>
      </c>
      <c r="Z169" s="13"/>
      <c r="AA169" s="31"/>
      <c r="AB169" s="27"/>
    </row>
    <row r="170" spans="2:28">
      <c r="B170" s="11">
        <v>160</v>
      </c>
      <c r="C170" s="1" t="s">
        <v>437</v>
      </c>
      <c r="D170" s="1" t="s">
        <v>438</v>
      </c>
      <c r="E170" s="1" t="s">
        <v>439</v>
      </c>
      <c r="F170" s="29" t="s">
        <v>38</v>
      </c>
      <c r="G170" s="11">
        <v>2023</v>
      </c>
      <c r="H170" s="16">
        <v>45199</v>
      </c>
      <c r="I170" s="16">
        <v>45565</v>
      </c>
      <c r="J170" s="11">
        <v>2433</v>
      </c>
      <c r="K170" s="12" t="s">
        <v>440</v>
      </c>
      <c r="L170" s="16">
        <v>45343</v>
      </c>
      <c r="M170" s="12" t="s">
        <v>87</v>
      </c>
      <c r="N170" s="11" t="s">
        <v>431</v>
      </c>
      <c r="O170" s="25">
        <v>-2.9999999899271213E-3</v>
      </c>
      <c r="P170" s="2">
        <v>4.55</v>
      </c>
      <c r="Q170" s="25">
        <v>-1.3649999954168401E-4</v>
      </c>
      <c r="R170" s="25">
        <v>-8.7880326162803596E-6</v>
      </c>
      <c r="S170" s="25">
        <v>0</v>
      </c>
      <c r="T170" s="25">
        <v>9.6633812063373605E-13</v>
      </c>
      <c r="U170" s="25">
        <v>-1.2771196789174177E-4</v>
      </c>
      <c r="V170" s="18">
        <v>0</v>
      </c>
      <c r="W170" s="13">
        <v>1.13686837721616E-13</v>
      </c>
      <c r="X170" s="13">
        <v>2088000</v>
      </c>
      <c r="Y170" s="13">
        <f t="shared" si="4"/>
        <v>1586880</v>
      </c>
      <c r="Z170" s="13"/>
      <c r="AA170" s="31"/>
      <c r="AB170" s="27"/>
    </row>
    <row r="171" spans="2:28">
      <c r="B171" s="11">
        <v>161</v>
      </c>
      <c r="C171" s="1" t="s">
        <v>441</v>
      </c>
      <c r="D171" s="1" t="s">
        <v>442</v>
      </c>
      <c r="E171" s="1" t="s">
        <v>439</v>
      </c>
      <c r="F171" s="29" t="s">
        <v>38</v>
      </c>
      <c r="G171" s="11">
        <v>2023</v>
      </c>
      <c r="H171" s="16">
        <v>45199</v>
      </c>
      <c r="I171" s="16">
        <v>45565</v>
      </c>
      <c r="J171" s="11">
        <v>2433</v>
      </c>
      <c r="K171" s="12" t="s">
        <v>443</v>
      </c>
      <c r="L171" s="16">
        <v>45343</v>
      </c>
      <c r="M171" s="12" t="s">
        <v>87</v>
      </c>
      <c r="N171" s="11" t="s">
        <v>431</v>
      </c>
      <c r="O171" s="28">
        <v>4473786.7465934064</v>
      </c>
      <c r="P171" s="2">
        <v>4.55</v>
      </c>
      <c r="Q171" s="25">
        <v>203557.29697</v>
      </c>
      <c r="R171" s="28">
        <v>13218.062540773501</v>
      </c>
      <c r="S171" s="28">
        <v>0</v>
      </c>
      <c r="T171" s="28">
        <v>168006.67</v>
      </c>
      <c r="U171" s="25">
        <v>22332.564429226477</v>
      </c>
      <c r="V171" s="18">
        <v>0</v>
      </c>
      <c r="W171" s="18">
        <v>127685.07</v>
      </c>
      <c r="X171" s="13">
        <v>11732394.619999999</v>
      </c>
      <c r="Y171" s="13">
        <f t="shared" si="4"/>
        <v>8916619.9112</v>
      </c>
      <c r="Z171" s="13"/>
      <c r="AA171" s="31"/>
      <c r="AB171" s="27"/>
    </row>
    <row r="172" spans="2:28">
      <c r="B172" s="11">
        <v>162</v>
      </c>
      <c r="C172" s="1" t="s">
        <v>444</v>
      </c>
      <c r="D172" s="1" t="s">
        <v>445</v>
      </c>
      <c r="E172" s="1" t="s">
        <v>446</v>
      </c>
      <c r="F172" s="29" t="s">
        <v>38</v>
      </c>
      <c r="G172" s="11">
        <v>2024</v>
      </c>
      <c r="H172" s="16">
        <v>45530</v>
      </c>
      <c r="I172" s="16">
        <v>45895</v>
      </c>
      <c r="J172" s="11">
        <v>2423</v>
      </c>
      <c r="K172" s="12" t="s">
        <v>447</v>
      </c>
      <c r="L172" s="16">
        <v>45553</v>
      </c>
      <c r="M172" s="12" t="s">
        <v>87</v>
      </c>
      <c r="N172" s="11" t="s">
        <v>431</v>
      </c>
      <c r="O172" s="25">
        <v>246508.2</v>
      </c>
      <c r="P172" s="2">
        <v>12.5</v>
      </c>
      <c r="Q172" s="25">
        <v>30813.525000000001</v>
      </c>
      <c r="R172" s="25">
        <v>15004.900984603401</v>
      </c>
      <c r="S172" s="25">
        <v>0</v>
      </c>
      <c r="T172" s="25">
        <v>15772.9</v>
      </c>
      <c r="U172" s="25">
        <v>35.724015396601317</v>
      </c>
      <c r="V172" s="18">
        <v>0</v>
      </c>
      <c r="W172" s="13">
        <v>14353.34</v>
      </c>
      <c r="X172" s="13">
        <v>517946.04</v>
      </c>
      <c r="Y172" s="13">
        <f t="shared" ref="Y172:Y175" si="5">X172*91%</f>
        <v>471330.89639999997</v>
      </c>
      <c r="Z172" s="13"/>
      <c r="AA172" s="31"/>
      <c r="AB172" s="27"/>
    </row>
    <row r="173" spans="2:28">
      <c r="B173" s="11">
        <v>163</v>
      </c>
      <c r="C173" s="1" t="s">
        <v>448</v>
      </c>
      <c r="D173" s="1" t="s">
        <v>449</v>
      </c>
      <c r="E173" s="1" t="s">
        <v>450</v>
      </c>
      <c r="F173" s="29" t="s">
        <v>38</v>
      </c>
      <c r="G173" s="11">
        <v>2024</v>
      </c>
      <c r="H173" s="16">
        <v>45627</v>
      </c>
      <c r="I173" s="16">
        <v>45992</v>
      </c>
      <c r="J173" s="11">
        <v>2402</v>
      </c>
      <c r="K173" s="12" t="s">
        <v>451</v>
      </c>
      <c r="L173" s="16">
        <v>45762</v>
      </c>
      <c r="M173" s="12" t="s">
        <v>87</v>
      </c>
      <c r="N173" s="11" t="s">
        <v>431</v>
      </c>
      <c r="O173" s="28">
        <v>925000</v>
      </c>
      <c r="P173" s="2">
        <v>10</v>
      </c>
      <c r="Q173" s="25">
        <v>92500</v>
      </c>
      <c r="R173" s="28">
        <v>31138.222329819</v>
      </c>
      <c r="S173" s="28">
        <v>0</v>
      </c>
      <c r="T173" s="28">
        <v>61302.46</v>
      </c>
      <c r="U173" s="25">
        <v>59.317670181000722</v>
      </c>
      <c r="V173" s="18">
        <v>0</v>
      </c>
      <c r="W173" s="18">
        <v>55785.24</v>
      </c>
      <c r="X173" s="13">
        <v>4020000</v>
      </c>
      <c r="Y173" s="13">
        <f t="shared" si="5"/>
        <v>3658200</v>
      </c>
      <c r="Z173" s="13"/>
      <c r="AA173" s="31"/>
      <c r="AB173" s="27"/>
    </row>
    <row r="174" spans="2:28">
      <c r="B174" s="11">
        <v>164</v>
      </c>
      <c r="C174" s="1" t="s">
        <v>452</v>
      </c>
      <c r="D174" s="1" t="s">
        <v>453</v>
      </c>
      <c r="E174" s="1" t="s">
        <v>454</v>
      </c>
      <c r="F174" s="29" t="s">
        <v>38</v>
      </c>
      <c r="G174" s="11">
        <v>2024</v>
      </c>
      <c r="H174" s="16">
        <v>45530</v>
      </c>
      <c r="I174" s="16">
        <v>45895</v>
      </c>
      <c r="J174" s="11">
        <v>2423</v>
      </c>
      <c r="K174" s="12" t="s">
        <v>447</v>
      </c>
      <c r="L174" s="16">
        <v>45553</v>
      </c>
      <c r="M174" s="12" t="s">
        <v>87</v>
      </c>
      <c r="N174" s="11" t="s">
        <v>431</v>
      </c>
      <c r="O174" s="25">
        <v>74021.039999999994</v>
      </c>
      <c r="P174" s="2">
        <v>12.5</v>
      </c>
      <c r="Q174" s="25">
        <v>9252.6299999999992</v>
      </c>
      <c r="R174" s="25">
        <v>4505.6447451945796</v>
      </c>
      <c r="S174" s="25">
        <v>0</v>
      </c>
      <c r="T174" s="25">
        <v>4736.26</v>
      </c>
      <c r="U174" s="25">
        <v>10.725254805419354</v>
      </c>
      <c r="V174" s="18">
        <v>0</v>
      </c>
      <c r="W174" s="13">
        <v>4309.99</v>
      </c>
      <c r="X174" s="13">
        <v>98425.16</v>
      </c>
      <c r="Y174" s="13">
        <f t="shared" si="5"/>
        <v>89566.895600000003</v>
      </c>
      <c r="Z174" s="13"/>
      <c r="AA174" s="31"/>
      <c r="AB174" s="27"/>
    </row>
    <row r="175" spans="2:28">
      <c r="B175" s="11">
        <v>165</v>
      </c>
      <c r="C175" s="1" t="s">
        <v>455</v>
      </c>
      <c r="D175" s="1" t="s">
        <v>456</v>
      </c>
      <c r="E175" s="1" t="s">
        <v>457</v>
      </c>
      <c r="F175" s="29" t="s">
        <v>38</v>
      </c>
      <c r="G175" s="11">
        <v>2024</v>
      </c>
      <c r="H175" s="16">
        <v>45530</v>
      </c>
      <c r="I175" s="16">
        <v>45895</v>
      </c>
      <c r="J175" s="11">
        <v>2468</v>
      </c>
      <c r="K175" s="12" t="s">
        <v>458</v>
      </c>
      <c r="L175" s="16">
        <v>45553</v>
      </c>
      <c r="M175" s="12" t="s">
        <v>87</v>
      </c>
      <c r="N175" s="11" t="s">
        <v>431</v>
      </c>
      <c r="O175" s="25">
        <v>120997.72</v>
      </c>
      <c r="P175" s="2">
        <v>12.5</v>
      </c>
      <c r="Q175" s="25">
        <v>15124.715</v>
      </c>
      <c r="R175" s="25">
        <v>7365.1051281976597</v>
      </c>
      <c r="S175" s="25">
        <v>0</v>
      </c>
      <c r="T175" s="25">
        <v>7742.07</v>
      </c>
      <c r="U175" s="25">
        <v>17.539871802340713</v>
      </c>
      <c r="V175" s="18">
        <v>0</v>
      </c>
      <c r="W175" s="13">
        <v>7045.29</v>
      </c>
      <c r="X175" s="13">
        <v>243742.74</v>
      </c>
      <c r="Y175" s="13">
        <f t="shared" si="5"/>
        <v>221805.8934</v>
      </c>
      <c r="Z175" s="13"/>
      <c r="AA175" s="31"/>
      <c r="AB175" s="27"/>
    </row>
    <row r="176" spans="2:28">
      <c r="B176" s="11">
        <v>166</v>
      </c>
      <c r="C176" s="1" t="s">
        <v>427</v>
      </c>
      <c r="D176" s="1" t="s">
        <v>428</v>
      </c>
      <c r="E176" s="1" t="s">
        <v>429</v>
      </c>
      <c r="F176" s="29" t="s">
        <v>38</v>
      </c>
      <c r="G176" s="11">
        <v>2025</v>
      </c>
      <c r="H176" s="16">
        <v>45717</v>
      </c>
      <c r="I176" s="16">
        <v>46082</v>
      </c>
      <c r="J176" s="11">
        <v>236</v>
      </c>
      <c r="K176" s="12" t="s">
        <v>430</v>
      </c>
      <c r="L176" s="16">
        <v>45723</v>
      </c>
      <c r="M176" s="12" t="s">
        <v>87</v>
      </c>
      <c r="N176" s="11" t="s">
        <v>431</v>
      </c>
      <c r="O176" s="25">
        <v>12616.220000000001</v>
      </c>
      <c r="P176" s="2">
        <v>7.5</v>
      </c>
      <c r="Q176" s="25">
        <v>946.2165</v>
      </c>
      <c r="R176" s="25">
        <v>141.967966991748</v>
      </c>
      <c r="S176" s="25">
        <v>0</v>
      </c>
      <c r="T176" s="25">
        <v>743.3</v>
      </c>
      <c r="U176" s="25">
        <v>60.94853300825207</v>
      </c>
      <c r="V176" s="18">
        <v>0</v>
      </c>
      <c r="W176" s="13">
        <v>721</v>
      </c>
      <c r="X176" s="13">
        <v>0</v>
      </c>
      <c r="Y176" s="13">
        <f>X176*97%</f>
        <v>0</v>
      </c>
      <c r="Z176" s="13"/>
      <c r="AA176" s="31"/>
      <c r="AB176" s="27"/>
    </row>
    <row r="177" spans="6:23">
      <c r="F177"/>
      <c r="O177" s="21"/>
      <c r="Q177" s="22"/>
      <c r="R177" s="22"/>
      <c r="S177" s="22"/>
      <c r="T177" s="22"/>
      <c r="U177" s="23"/>
      <c r="V177" s="23"/>
      <c r="W177" s="24"/>
    </row>
    <row r="178" spans="6:23">
      <c r="F178"/>
      <c r="O178" s="21"/>
      <c r="Q178" s="22"/>
      <c r="R178" s="22"/>
      <c r="S178" s="22"/>
      <c r="T178" s="22"/>
      <c r="V178" s="17">
        <f>SUBTOTAL(9,V11:V176)</f>
        <v>59.02</v>
      </c>
      <c r="W178" s="17">
        <f>SUBTOTAL(9,W11:W176)</f>
        <v>721</v>
      </c>
    </row>
    <row r="179" spans="6:23">
      <c r="F179"/>
      <c r="O179" s="21"/>
      <c r="Q179" s="22"/>
      <c r="R179" s="22"/>
      <c r="S179" s="22"/>
      <c r="T179" s="22"/>
    </row>
    <row r="180" spans="6:23">
      <c r="F180"/>
    </row>
    <row r="181" spans="6:23">
      <c r="F181"/>
      <c r="G181"/>
      <c r="N181"/>
    </row>
    <row r="182" spans="6:23">
      <c r="F182"/>
      <c r="G182"/>
      <c r="N182"/>
    </row>
    <row r="183" spans="6:23">
      <c r="F183"/>
      <c r="G183"/>
      <c r="N183"/>
    </row>
    <row r="184" spans="6:23">
      <c r="F184"/>
      <c r="G184"/>
      <c r="N184"/>
    </row>
    <row r="185" spans="6:23">
      <c r="F185"/>
      <c r="G185"/>
      <c r="N185"/>
    </row>
    <row r="186" spans="6:23">
      <c r="F186"/>
      <c r="G186"/>
      <c r="N186"/>
    </row>
    <row r="187" spans="6:23">
      <c r="F187"/>
      <c r="G187"/>
    </row>
    <row r="188" spans="6:23">
      <c r="F188"/>
      <c r="G188"/>
    </row>
    <row r="189" spans="6:23">
      <c r="F189"/>
      <c r="G189"/>
    </row>
    <row r="190" spans="6:23">
      <c r="F190"/>
      <c r="G190"/>
    </row>
    <row r="191" spans="6:23">
      <c r="F191"/>
      <c r="G191"/>
      <c r="L191"/>
      <c r="N191"/>
    </row>
    <row r="192" spans="6:23">
      <c r="F192"/>
      <c r="G192"/>
      <c r="L192"/>
      <c r="N192"/>
    </row>
    <row r="193" spans="6:14">
      <c r="F193"/>
      <c r="G193"/>
      <c r="L193"/>
      <c r="N193"/>
    </row>
    <row r="194" spans="6:14">
      <c r="F194"/>
      <c r="G194"/>
      <c r="L194"/>
      <c r="N194"/>
    </row>
    <row r="195" spans="6:14">
      <c r="F195"/>
      <c r="G195"/>
      <c r="L195"/>
      <c r="N195"/>
    </row>
    <row r="196" spans="6:14">
      <c r="F196"/>
      <c r="G196"/>
      <c r="L196"/>
      <c r="N196"/>
    </row>
    <row r="197" spans="6:14">
      <c r="F197"/>
      <c r="G197"/>
      <c r="L197"/>
      <c r="N197"/>
    </row>
    <row r="198" spans="6:14">
      <c r="F198"/>
      <c r="G198"/>
    </row>
    <row r="199" spans="6:14">
      <c r="F199"/>
      <c r="G199"/>
    </row>
    <row r="200" spans="6:14">
      <c r="F200"/>
      <c r="G200"/>
    </row>
    <row r="201" spans="6:14">
      <c r="F201"/>
      <c r="G201"/>
    </row>
    <row r="202" spans="6:14">
      <c r="F202"/>
      <c r="G202"/>
    </row>
    <row r="203" spans="6:14">
      <c r="F203"/>
      <c r="G203"/>
    </row>
    <row r="204" spans="6:14">
      <c r="F204"/>
      <c r="G204"/>
    </row>
    <row r="205" spans="6:14">
      <c r="F205"/>
      <c r="G205"/>
    </row>
    <row r="206" spans="6:14">
      <c r="F206"/>
      <c r="G206"/>
    </row>
    <row r="207" spans="6:14">
      <c r="F207"/>
      <c r="G207"/>
    </row>
    <row r="208" spans="6:14">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row r="264" spans="6:7">
      <c r="F264"/>
      <c r="G264"/>
    </row>
    <row r="265" spans="6:7">
      <c r="F265"/>
      <c r="G265"/>
    </row>
    <row r="266" spans="6:7">
      <c r="F266"/>
      <c r="G266"/>
    </row>
    <row r="267" spans="6:7">
      <c r="F267"/>
      <c r="G267"/>
    </row>
    <row r="268" spans="6:7">
      <c r="F268"/>
      <c r="G268"/>
    </row>
    <row r="269" spans="6:7">
      <c r="F269"/>
      <c r="G269"/>
    </row>
    <row r="270" spans="6:7">
      <c r="F270"/>
      <c r="G270"/>
    </row>
    <row r="271" spans="6:7">
      <c r="F271"/>
      <c r="G271"/>
    </row>
    <row r="272" spans="6:7">
      <c r="F272"/>
      <c r="G272"/>
    </row>
    <row r="273" spans="6:7">
      <c r="F273"/>
      <c r="G273"/>
    </row>
    <row r="274" spans="6:7">
      <c r="F274"/>
      <c r="G274"/>
    </row>
    <row r="275" spans="6:7">
      <c r="F275"/>
      <c r="G275"/>
    </row>
    <row r="276" spans="6:7">
      <c r="F276"/>
      <c r="G276"/>
    </row>
    <row r="277" spans="6:7">
      <c r="F277"/>
      <c r="G277"/>
    </row>
    <row r="278" spans="6:7">
      <c r="F278"/>
      <c r="G278"/>
    </row>
    <row r="279" spans="6:7">
      <c r="F279"/>
      <c r="G279"/>
    </row>
    <row r="280" spans="6:7">
      <c r="F280"/>
      <c r="G280"/>
    </row>
    <row r="281" spans="6:7">
      <c r="F281"/>
      <c r="G281"/>
    </row>
    <row r="282" spans="6:7">
      <c r="F282"/>
      <c r="G282"/>
    </row>
    <row r="283" spans="6:7">
      <c r="F283"/>
      <c r="G283"/>
    </row>
    <row r="284" spans="6:7">
      <c r="F284"/>
      <c r="G284"/>
    </row>
    <row r="285" spans="6:7">
      <c r="F285"/>
      <c r="G285"/>
    </row>
    <row r="286" spans="6:7">
      <c r="F286"/>
      <c r="G286"/>
    </row>
    <row r="287" spans="6:7">
      <c r="F287"/>
      <c r="G287"/>
    </row>
    <row r="288" spans="6:7">
      <c r="F288"/>
      <c r="G288"/>
    </row>
    <row r="289" spans="6:7">
      <c r="F289"/>
      <c r="G289"/>
    </row>
    <row r="290" spans="6:7">
      <c r="F290"/>
      <c r="G290"/>
    </row>
    <row r="291" spans="6:7">
      <c r="F291"/>
      <c r="G291"/>
    </row>
    <row r="292" spans="6:7">
      <c r="F292"/>
      <c r="G292"/>
    </row>
    <row r="293" spans="6:7">
      <c r="F293"/>
      <c r="G293"/>
    </row>
    <row r="294" spans="6:7">
      <c r="F294"/>
      <c r="G294"/>
    </row>
    <row r="295" spans="6:7">
      <c r="F295"/>
      <c r="G295"/>
    </row>
    <row r="296" spans="6:7">
      <c r="F296"/>
      <c r="G296"/>
    </row>
    <row r="297" spans="6:7">
      <c r="F297"/>
      <c r="G297"/>
    </row>
    <row r="298" spans="6:7">
      <c r="F298"/>
      <c r="G298"/>
    </row>
    <row r="299" spans="6:7">
      <c r="F299"/>
      <c r="G299"/>
    </row>
    <row r="300" spans="6:7">
      <c r="F300"/>
      <c r="G300"/>
    </row>
    <row r="301" spans="6:7">
      <c r="F301"/>
      <c r="G301"/>
    </row>
    <row r="302" spans="6:7">
      <c r="F302"/>
      <c r="G302"/>
    </row>
    <row r="303" spans="6:7">
      <c r="F303"/>
      <c r="G303"/>
    </row>
    <row r="304" spans="6:7">
      <c r="F304"/>
      <c r="G304"/>
    </row>
    <row r="305" spans="6:7">
      <c r="F305"/>
      <c r="G305"/>
    </row>
    <row r="306" spans="6:7">
      <c r="F306"/>
      <c r="G306"/>
    </row>
    <row r="307" spans="6:7">
      <c r="F307"/>
      <c r="G307"/>
    </row>
    <row r="308" spans="6:7">
      <c r="F308"/>
      <c r="G308"/>
    </row>
    <row r="309" spans="6:7">
      <c r="F309"/>
      <c r="G309"/>
    </row>
    <row r="310" spans="6:7">
      <c r="F310"/>
      <c r="G310"/>
    </row>
    <row r="311" spans="6:7">
      <c r="F311"/>
      <c r="G311"/>
    </row>
    <row r="312" spans="6:7">
      <c r="F312"/>
      <c r="G312"/>
    </row>
    <row r="313" spans="6:7">
      <c r="F313"/>
      <c r="G313"/>
    </row>
    <row r="314" spans="6:7">
      <c r="F314"/>
      <c r="G314"/>
    </row>
    <row r="315" spans="6:7">
      <c r="F315"/>
      <c r="G315"/>
    </row>
    <row r="316" spans="6:7">
      <c r="F316"/>
      <c r="G316"/>
    </row>
    <row r="317" spans="6:7">
      <c r="F317"/>
      <c r="G317"/>
    </row>
    <row r="318" spans="6:7">
      <c r="F318"/>
      <c r="G318"/>
    </row>
    <row r="319" spans="6:7">
      <c r="F319"/>
      <c r="G319"/>
    </row>
    <row r="320" spans="6:7">
      <c r="F320"/>
      <c r="G320"/>
    </row>
    <row r="321" spans="6:7">
      <c r="F321"/>
      <c r="G321"/>
    </row>
    <row r="322" spans="6:7">
      <c r="F322"/>
      <c r="G322"/>
    </row>
    <row r="323" spans="6:7">
      <c r="F323"/>
      <c r="G323"/>
    </row>
    <row r="324" spans="6:7">
      <c r="F324"/>
      <c r="G324"/>
    </row>
    <row r="325" spans="6:7">
      <c r="F325"/>
      <c r="G325"/>
    </row>
    <row r="326" spans="6:7">
      <c r="F326"/>
      <c r="G326"/>
    </row>
    <row r="327" spans="6:7">
      <c r="F327"/>
      <c r="G327"/>
    </row>
    <row r="328" spans="6:7">
      <c r="F328"/>
      <c r="G328"/>
    </row>
    <row r="329" spans="6:7">
      <c r="F329"/>
      <c r="G329"/>
    </row>
    <row r="330" spans="6:7">
      <c r="F330"/>
      <c r="G330"/>
    </row>
    <row r="331" spans="6:7">
      <c r="F331"/>
      <c r="G331"/>
    </row>
    <row r="332" spans="6:7">
      <c r="F332"/>
      <c r="G332"/>
    </row>
    <row r="333" spans="6:7">
      <c r="F333"/>
      <c r="G333"/>
    </row>
    <row r="334" spans="6:7">
      <c r="F334"/>
      <c r="G334"/>
    </row>
    <row r="335" spans="6:7">
      <c r="F335"/>
      <c r="G335"/>
    </row>
    <row r="336" spans="6:7">
      <c r="F336"/>
      <c r="G336"/>
    </row>
    <row r="337" spans="6:7">
      <c r="F337"/>
      <c r="G337"/>
    </row>
    <row r="338" spans="6:7">
      <c r="F338"/>
      <c r="G338"/>
    </row>
    <row r="339" spans="6:7">
      <c r="F339"/>
      <c r="G339"/>
    </row>
    <row r="340" spans="6:7">
      <c r="F340"/>
      <c r="G340"/>
    </row>
    <row r="341" spans="6:7">
      <c r="F341"/>
      <c r="G341"/>
    </row>
    <row r="342" spans="6:7">
      <c r="F342"/>
      <c r="G342"/>
    </row>
    <row r="343" spans="6:7">
      <c r="F343"/>
      <c r="G343"/>
    </row>
    <row r="344" spans="6:7">
      <c r="F344"/>
      <c r="G344"/>
    </row>
    <row r="345" spans="6:7">
      <c r="F345"/>
      <c r="G345"/>
    </row>
    <row r="346" spans="6:7">
      <c r="F346"/>
      <c r="G346"/>
    </row>
    <row r="347" spans="6:7">
      <c r="F347"/>
      <c r="G347"/>
    </row>
    <row r="348" spans="6:7">
      <c r="F348"/>
      <c r="G348"/>
    </row>
    <row r="349" spans="6:7">
      <c r="F349"/>
      <c r="G349"/>
    </row>
    <row r="350" spans="6:7">
      <c r="F350"/>
      <c r="G350"/>
    </row>
    <row r="351" spans="6:7">
      <c r="F351"/>
      <c r="G351"/>
    </row>
    <row r="352" spans="6:7">
      <c r="F352"/>
      <c r="G352"/>
    </row>
    <row r="353" spans="6:7">
      <c r="F353"/>
      <c r="G353"/>
    </row>
    <row r="354" spans="6:7">
      <c r="F354"/>
      <c r="G354"/>
    </row>
    <row r="355" spans="6:7">
      <c r="F355"/>
      <c r="G355"/>
    </row>
    <row r="356" spans="6:7">
      <c r="F356"/>
      <c r="G356"/>
    </row>
    <row r="357" spans="6:7">
      <c r="F357"/>
      <c r="G357"/>
    </row>
    <row r="358" spans="6:7">
      <c r="F358"/>
      <c r="G358"/>
    </row>
    <row r="359" spans="6:7">
      <c r="F359"/>
      <c r="G359"/>
    </row>
    <row r="360" spans="6:7">
      <c r="F360"/>
      <c r="G360"/>
    </row>
    <row r="361" spans="6:7">
      <c r="F361"/>
      <c r="G361"/>
    </row>
    <row r="362" spans="6:7">
      <c r="F362"/>
      <c r="G362"/>
    </row>
    <row r="363" spans="6:7">
      <c r="F363"/>
      <c r="G363"/>
    </row>
    <row r="364" spans="6:7">
      <c r="F364"/>
      <c r="G364"/>
    </row>
    <row r="365" spans="6:7">
      <c r="F365"/>
      <c r="G365"/>
    </row>
    <row r="366" spans="6:7">
      <c r="F366"/>
      <c r="G366"/>
    </row>
    <row r="367" spans="6:7">
      <c r="F367"/>
      <c r="G367"/>
    </row>
    <row r="368" spans="6:7">
      <c r="F368"/>
      <c r="G368"/>
    </row>
    <row r="369" spans="6:7">
      <c r="F369"/>
      <c r="G369"/>
    </row>
  </sheetData>
  <autoFilter ref="B10:Z176" xr:uid="{00000000-0001-0000-0100-000000000000}"/>
  <mergeCells count="20">
    <mergeCell ref="Z9:Z10"/>
    <mergeCell ref="H9:I9"/>
    <mergeCell ref="N9:N10"/>
    <mergeCell ref="O9:O10"/>
    <mergeCell ref="P9:Q9"/>
    <mergeCell ref="L9:L10"/>
    <mergeCell ref="J9:J10"/>
    <mergeCell ref="K9:K10"/>
    <mergeCell ref="V9:V10"/>
    <mergeCell ref="G9:G10"/>
    <mergeCell ref="W9:W10"/>
    <mergeCell ref="X9:X10"/>
    <mergeCell ref="Y9:Y10"/>
    <mergeCell ref="B9:B10"/>
    <mergeCell ref="C9:C10"/>
    <mergeCell ref="D9:D10"/>
    <mergeCell ref="E9:E10"/>
    <mergeCell ref="F9:F10"/>
    <mergeCell ref="M9:M10"/>
    <mergeCell ref="R9:U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80DF8-F25C-4C92-ABBB-A459EAAAEADA}">
  <sheetPr>
    <tabColor rgb="FF00B050"/>
  </sheetPr>
  <dimension ref="B2:AB263"/>
  <sheetViews>
    <sheetView showGridLines="0" zoomScale="70" zoomScaleNormal="70" workbookViewId="0">
      <pane xSplit="7" ySplit="10" topLeftCell="X11" activePane="bottomRight" state="frozen"/>
      <selection pane="bottomRight" activeCell="D37" sqref="D37"/>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style="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9" width="16.140625" customWidth="1"/>
    <col min="20" max="20" width="17.7109375" customWidth="1"/>
    <col min="21" max="22" width="18.85546875" customWidth="1"/>
    <col min="23" max="23" width="17.7109375" bestFit="1" customWidth="1"/>
    <col min="24" max="24" width="23.28515625" bestFit="1" customWidth="1"/>
    <col min="25" max="25" width="19.85546875" customWidth="1"/>
    <col min="26" max="26" width="21" customWidth="1"/>
    <col min="27" max="27" width="18.85546875" bestFit="1" customWidth="1"/>
  </cols>
  <sheetData>
    <row r="2" spans="2:28" ht="18">
      <c r="B2" s="8" t="s">
        <v>0</v>
      </c>
    </row>
    <row r="3" spans="2:28">
      <c r="B3" s="7" t="s">
        <v>1</v>
      </c>
      <c r="D3" s="9" t="s">
        <v>2</v>
      </c>
      <c r="E3" s="6"/>
    </row>
    <row r="4" spans="2:28">
      <c r="B4" s="7" t="s">
        <v>3</v>
      </c>
      <c r="D4" s="10" t="s">
        <v>459</v>
      </c>
      <c r="E4" s="5"/>
    </row>
    <row r="5" spans="2:28">
      <c r="B5" s="7" t="s">
        <v>5</v>
      </c>
      <c r="D5" s="10" t="s">
        <v>6</v>
      </c>
      <c r="E5" s="5"/>
    </row>
    <row r="7" spans="2:28">
      <c r="X7" s="19"/>
    </row>
    <row r="8" spans="2:28">
      <c r="G8"/>
      <c r="H8"/>
      <c r="I8"/>
      <c r="J8"/>
      <c r="L8"/>
      <c r="N8"/>
      <c r="T8" s="19"/>
    </row>
    <row r="9" spans="2:28"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22</v>
      </c>
      <c r="W9" s="37" t="s">
        <v>23</v>
      </c>
      <c r="X9" s="37" t="s">
        <v>24</v>
      </c>
      <c r="Y9" s="37" t="s">
        <v>25</v>
      </c>
      <c r="Z9" s="37" t="s">
        <v>26</v>
      </c>
    </row>
    <row r="10" spans="2:28"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c r="Z10" s="37"/>
    </row>
    <row r="11" spans="2:28" s="14" customFormat="1">
      <c r="B11" s="11">
        <v>1</v>
      </c>
      <c r="C11" s="12" t="s">
        <v>460</v>
      </c>
      <c r="D11" s="12" t="s">
        <v>461</v>
      </c>
      <c r="E11" s="12" t="s">
        <v>462</v>
      </c>
      <c r="F11" s="29" t="s">
        <v>463</v>
      </c>
      <c r="G11" s="11">
        <v>2023</v>
      </c>
      <c r="H11" s="16">
        <v>45006</v>
      </c>
      <c r="I11" s="16">
        <v>45275</v>
      </c>
      <c r="J11" s="11" t="s">
        <v>464</v>
      </c>
      <c r="K11" s="12" t="s">
        <v>464</v>
      </c>
      <c r="L11" s="16">
        <v>45274</v>
      </c>
      <c r="M11" s="12" t="s">
        <v>87</v>
      </c>
      <c r="N11" s="11" t="s">
        <v>41</v>
      </c>
      <c r="O11" s="25">
        <v>62820743.333333336</v>
      </c>
      <c r="P11" s="2">
        <v>30</v>
      </c>
      <c r="Q11" s="25">
        <v>18846223</v>
      </c>
      <c r="R11" s="25">
        <v>9423111.4999999907</v>
      </c>
      <c r="S11" s="25">
        <v>9423110.9999999609</v>
      </c>
      <c r="T11" s="25">
        <v>0</v>
      </c>
      <c r="U11" s="25">
        <v>0.50000004842877388</v>
      </c>
      <c r="V11" s="25">
        <v>7161565</v>
      </c>
      <c r="W11" s="13">
        <v>0</v>
      </c>
      <c r="X11" s="13">
        <v>0</v>
      </c>
      <c r="Y11" s="13">
        <f t="shared" ref="Y11:Y19" si="0">X11*76%</f>
        <v>0</v>
      </c>
      <c r="Z11" s="13"/>
      <c r="AA11" s="31"/>
      <c r="AB11" s="30"/>
    </row>
    <row r="12" spans="2:28">
      <c r="B12" s="11">
        <v>2</v>
      </c>
      <c r="C12" s="1" t="s">
        <v>465</v>
      </c>
      <c r="D12" s="1" t="s">
        <v>466</v>
      </c>
      <c r="E12" s="1" t="s">
        <v>467</v>
      </c>
      <c r="F12" s="29" t="s">
        <v>463</v>
      </c>
      <c r="G12" s="11">
        <v>2023</v>
      </c>
      <c r="H12" s="16">
        <v>45268</v>
      </c>
      <c r="I12" s="16">
        <v>45657</v>
      </c>
      <c r="J12" s="11" t="s">
        <v>464</v>
      </c>
      <c r="K12" s="12" t="s">
        <v>464</v>
      </c>
      <c r="L12" s="16">
        <v>45626</v>
      </c>
      <c r="M12" s="12" t="s">
        <v>87</v>
      </c>
      <c r="N12" s="11" t="s">
        <v>41</v>
      </c>
      <c r="O12" s="25">
        <v>5225025402</v>
      </c>
      <c r="P12" s="2">
        <v>15</v>
      </c>
      <c r="Q12" s="25">
        <v>783753810.29999995</v>
      </c>
      <c r="R12" s="25">
        <v>149991751.441089</v>
      </c>
      <c r="S12" s="25">
        <v>149991751</v>
      </c>
      <c r="T12" s="25">
        <v>0</v>
      </c>
      <c r="U12" s="25">
        <v>483770307.85891092</v>
      </c>
      <c r="V12" s="25">
        <v>113993731</v>
      </c>
      <c r="W12" s="13">
        <v>0</v>
      </c>
      <c r="X12" s="13">
        <v>6200000000</v>
      </c>
      <c r="Y12" s="13">
        <f t="shared" si="0"/>
        <v>4712000000</v>
      </c>
      <c r="Z12" s="13"/>
      <c r="AA12" s="31"/>
      <c r="AB12" s="30"/>
    </row>
    <row r="13" spans="2:28">
      <c r="B13" s="11">
        <v>3</v>
      </c>
      <c r="C13" s="1" t="s">
        <v>468</v>
      </c>
      <c r="D13" s="1" t="s">
        <v>469</v>
      </c>
      <c r="E13" s="1" t="s">
        <v>470</v>
      </c>
      <c r="F13" s="29" t="s">
        <v>463</v>
      </c>
      <c r="G13" s="11">
        <v>2023</v>
      </c>
      <c r="H13" s="16">
        <v>45288</v>
      </c>
      <c r="I13" s="16">
        <v>45647</v>
      </c>
      <c r="J13" s="11" t="s">
        <v>464</v>
      </c>
      <c r="K13" s="12" t="s">
        <v>464</v>
      </c>
      <c r="L13" s="16">
        <v>45641</v>
      </c>
      <c r="M13" s="12" t="s">
        <v>87</v>
      </c>
      <c r="N13" s="11" t="s">
        <v>41</v>
      </c>
      <c r="O13" s="25">
        <v>501163855.80300003</v>
      </c>
      <c r="P13" s="2">
        <v>20</v>
      </c>
      <c r="Q13" s="25">
        <v>100232771.16060001</v>
      </c>
      <c r="R13" s="25">
        <v>19575790.883443799</v>
      </c>
      <c r="S13" s="25">
        <v>19575791</v>
      </c>
      <c r="T13" s="25">
        <v>0</v>
      </c>
      <c r="U13" s="25">
        <v>61081189.277156204</v>
      </c>
      <c r="V13" s="25">
        <v>14877601</v>
      </c>
      <c r="W13" s="13">
        <v>0</v>
      </c>
      <c r="X13" s="13">
        <v>522000000</v>
      </c>
      <c r="Y13" s="13">
        <f t="shared" si="0"/>
        <v>396720000</v>
      </c>
      <c r="Z13" s="13"/>
      <c r="AA13" s="31"/>
      <c r="AB13" s="30"/>
    </row>
    <row r="14" spans="2:28">
      <c r="B14" s="11">
        <v>4</v>
      </c>
      <c r="C14" s="1" t="s">
        <v>471</v>
      </c>
      <c r="D14" s="1" t="s">
        <v>472</v>
      </c>
      <c r="E14" s="1" t="s">
        <v>473</v>
      </c>
      <c r="F14" s="29" t="s">
        <v>463</v>
      </c>
      <c r="G14" s="11">
        <v>2023</v>
      </c>
      <c r="H14" s="16">
        <v>45230</v>
      </c>
      <c r="I14" s="16">
        <v>45596</v>
      </c>
      <c r="J14" s="11">
        <v>2742</v>
      </c>
      <c r="K14" s="12" t="s">
        <v>474</v>
      </c>
      <c r="L14" s="16">
        <v>45288</v>
      </c>
      <c r="M14" s="12" t="s">
        <v>87</v>
      </c>
      <c r="N14" s="11" t="s">
        <v>41</v>
      </c>
      <c r="O14" s="25">
        <v>35198800</v>
      </c>
      <c r="P14" s="2">
        <v>10</v>
      </c>
      <c r="Q14" s="25">
        <v>3519880</v>
      </c>
      <c r="R14" s="25">
        <v>1759940</v>
      </c>
      <c r="S14" s="25">
        <v>1759940</v>
      </c>
      <c r="T14" s="25">
        <v>0</v>
      </c>
      <c r="U14" s="25">
        <v>0</v>
      </c>
      <c r="V14" s="25">
        <v>1337554</v>
      </c>
      <c r="W14" s="13">
        <v>0</v>
      </c>
      <c r="X14" s="13">
        <v>0</v>
      </c>
      <c r="Y14" s="13">
        <f t="shared" si="0"/>
        <v>0</v>
      </c>
      <c r="Z14" s="13"/>
      <c r="AA14" s="31"/>
      <c r="AB14" s="30"/>
    </row>
    <row r="15" spans="2:28">
      <c r="B15" s="11">
        <v>5</v>
      </c>
      <c r="C15" s="1" t="s">
        <v>475</v>
      </c>
      <c r="D15" s="1" t="s">
        <v>476</v>
      </c>
      <c r="E15" s="1" t="s">
        <v>477</v>
      </c>
      <c r="F15" s="29" t="s">
        <v>463</v>
      </c>
      <c r="G15" s="11">
        <v>2023</v>
      </c>
      <c r="H15" s="16">
        <v>45222</v>
      </c>
      <c r="I15" s="16">
        <v>45656</v>
      </c>
      <c r="J15" s="11" t="s">
        <v>464</v>
      </c>
      <c r="K15" s="12" t="s">
        <v>464</v>
      </c>
      <c r="L15" s="16">
        <v>45606</v>
      </c>
      <c r="M15" s="12" t="s">
        <v>87</v>
      </c>
      <c r="N15" s="11" t="s">
        <v>41</v>
      </c>
      <c r="O15" s="25">
        <v>850000000</v>
      </c>
      <c r="P15" s="2">
        <v>10</v>
      </c>
      <c r="Q15" s="25">
        <v>85000000</v>
      </c>
      <c r="R15" s="25">
        <v>9194486.3247692995</v>
      </c>
      <c r="S15" s="25">
        <v>9194487</v>
      </c>
      <c r="T15" s="25">
        <v>0</v>
      </c>
      <c r="U15" s="25">
        <v>66611026.675230697</v>
      </c>
      <c r="V15" s="25">
        <v>6987810</v>
      </c>
      <c r="W15" s="13">
        <v>0</v>
      </c>
      <c r="X15" s="13">
        <v>850000000</v>
      </c>
      <c r="Y15" s="13">
        <f t="shared" si="0"/>
        <v>646000000</v>
      </c>
      <c r="Z15" s="13"/>
      <c r="AA15" s="31"/>
      <c r="AB15" s="30"/>
    </row>
    <row r="16" spans="2:28">
      <c r="B16" s="11">
        <v>6</v>
      </c>
      <c r="C16" s="1" t="s">
        <v>478</v>
      </c>
      <c r="D16" s="1" t="s">
        <v>479</v>
      </c>
      <c r="E16" s="1" t="s">
        <v>381</v>
      </c>
      <c r="F16" s="29" t="s">
        <v>463</v>
      </c>
      <c r="G16" s="11">
        <v>2023</v>
      </c>
      <c r="H16" s="16">
        <v>45291</v>
      </c>
      <c r="I16" s="16">
        <v>45657</v>
      </c>
      <c r="J16" s="11">
        <v>2975</v>
      </c>
      <c r="K16" s="12" t="s">
        <v>205</v>
      </c>
      <c r="L16" s="16">
        <v>45641</v>
      </c>
      <c r="M16" s="12" t="s">
        <v>87</v>
      </c>
      <c r="N16" s="11" t="s">
        <v>41</v>
      </c>
      <c r="O16" s="25">
        <v>84972400</v>
      </c>
      <c r="P16" s="2">
        <v>10</v>
      </c>
      <c r="Q16" s="25">
        <v>8497240</v>
      </c>
      <c r="R16" s="25">
        <v>4248620</v>
      </c>
      <c r="S16" s="25">
        <v>4248619</v>
      </c>
      <c r="T16" s="25">
        <v>0</v>
      </c>
      <c r="U16" s="25">
        <v>1</v>
      </c>
      <c r="V16" s="25">
        <v>3228951</v>
      </c>
      <c r="W16" s="13">
        <v>0</v>
      </c>
      <c r="X16" s="13">
        <v>0</v>
      </c>
      <c r="Y16" s="13">
        <f t="shared" si="0"/>
        <v>0</v>
      </c>
      <c r="Z16" s="13"/>
      <c r="AA16" s="31"/>
      <c r="AB16" s="30"/>
    </row>
    <row r="17" spans="2:28">
      <c r="B17" s="11">
        <v>7</v>
      </c>
      <c r="C17" s="1" t="s">
        <v>480</v>
      </c>
      <c r="D17" s="1" t="s">
        <v>481</v>
      </c>
      <c r="E17" s="1" t="s">
        <v>482</v>
      </c>
      <c r="F17" s="29" t="s">
        <v>463</v>
      </c>
      <c r="G17" s="11">
        <v>2023</v>
      </c>
      <c r="H17" s="16">
        <v>45291</v>
      </c>
      <c r="I17" s="16">
        <v>45657</v>
      </c>
      <c r="J17" s="11">
        <v>23002</v>
      </c>
      <c r="K17" s="12" t="s">
        <v>483</v>
      </c>
      <c r="L17" s="16">
        <v>45488</v>
      </c>
      <c r="M17" s="12" t="s">
        <v>87</v>
      </c>
      <c r="N17" s="11" t="s">
        <v>41</v>
      </c>
      <c r="O17" s="25">
        <v>16077071.999999998</v>
      </c>
      <c r="P17" s="2">
        <v>20</v>
      </c>
      <c r="Q17" s="25">
        <v>3215414.4</v>
      </c>
      <c r="R17" s="25">
        <v>1607707.2</v>
      </c>
      <c r="S17" s="25">
        <v>1607706</v>
      </c>
      <c r="T17" s="25">
        <v>0</v>
      </c>
      <c r="U17" s="25">
        <v>1.1999999999534339</v>
      </c>
      <c r="V17" s="25">
        <v>1221857</v>
      </c>
      <c r="W17" s="13">
        <v>0</v>
      </c>
      <c r="X17" s="13">
        <v>0</v>
      </c>
      <c r="Y17" s="13">
        <f t="shared" si="0"/>
        <v>0</v>
      </c>
      <c r="Z17" s="13"/>
      <c r="AA17" s="31"/>
      <c r="AB17" s="30"/>
    </row>
    <row r="18" spans="2:28">
      <c r="B18" s="11">
        <v>8</v>
      </c>
      <c r="C18" s="1" t="s">
        <v>484</v>
      </c>
      <c r="D18" s="1" t="s">
        <v>485</v>
      </c>
      <c r="E18" s="1" t="s">
        <v>387</v>
      </c>
      <c r="F18" s="29" t="s">
        <v>463</v>
      </c>
      <c r="G18" s="11">
        <v>2023</v>
      </c>
      <c r="H18" s="16">
        <v>45291</v>
      </c>
      <c r="I18" s="16">
        <v>45657</v>
      </c>
      <c r="J18" s="11">
        <v>29371</v>
      </c>
      <c r="K18" s="12" t="s">
        <v>486</v>
      </c>
      <c r="L18" s="16">
        <v>45447</v>
      </c>
      <c r="M18" s="12" t="s">
        <v>87</v>
      </c>
      <c r="N18" s="11" t="s">
        <v>41</v>
      </c>
      <c r="O18" s="25">
        <v>13442500</v>
      </c>
      <c r="P18" s="2">
        <v>20</v>
      </c>
      <c r="Q18" s="25">
        <v>2688500</v>
      </c>
      <c r="R18" s="25">
        <v>1344250</v>
      </c>
      <c r="S18" s="25">
        <v>1344250</v>
      </c>
      <c r="T18" s="25">
        <v>0</v>
      </c>
      <c r="U18" s="25">
        <v>0</v>
      </c>
      <c r="V18" s="25">
        <v>1021630</v>
      </c>
      <c r="W18" s="13">
        <v>0</v>
      </c>
      <c r="X18" s="13">
        <v>0</v>
      </c>
      <c r="Y18" s="13">
        <f t="shared" si="0"/>
        <v>0</v>
      </c>
      <c r="Z18" s="13"/>
      <c r="AA18" s="31"/>
      <c r="AB18" s="30"/>
    </row>
    <row r="19" spans="2:28">
      <c r="B19" s="11">
        <v>9</v>
      </c>
      <c r="C19" s="1" t="s">
        <v>487</v>
      </c>
      <c r="D19" s="1" t="s">
        <v>488</v>
      </c>
      <c r="E19" s="1" t="s">
        <v>489</v>
      </c>
      <c r="F19" s="29" t="s">
        <v>463</v>
      </c>
      <c r="G19" s="11">
        <v>2023</v>
      </c>
      <c r="H19" s="16">
        <v>45046</v>
      </c>
      <c r="I19" s="16">
        <v>45412</v>
      </c>
      <c r="J19" s="11" t="s">
        <v>464</v>
      </c>
      <c r="K19" s="12" t="s">
        <v>464</v>
      </c>
      <c r="L19" s="16">
        <v>45241</v>
      </c>
      <c r="M19" s="12" t="s">
        <v>269</v>
      </c>
      <c r="N19" s="11" t="s">
        <v>41</v>
      </c>
      <c r="O19" s="28">
        <v>24175830.524999999</v>
      </c>
      <c r="P19" s="2">
        <v>100</v>
      </c>
      <c r="Q19" s="25">
        <v>24175830.524999999</v>
      </c>
      <c r="R19" s="28">
        <v>7326009.25</v>
      </c>
      <c r="S19" s="28">
        <v>7326009</v>
      </c>
      <c r="T19" s="28">
        <v>0</v>
      </c>
      <c r="U19" s="25">
        <v>9523812.2749999985</v>
      </c>
      <c r="V19" s="25">
        <v>5567767</v>
      </c>
      <c r="W19" s="18">
        <v>0</v>
      </c>
      <c r="X19" s="13">
        <v>0</v>
      </c>
      <c r="Y19" s="13">
        <f t="shared" si="0"/>
        <v>0</v>
      </c>
      <c r="Z19" s="13"/>
      <c r="AA19" s="31"/>
      <c r="AB19" s="30"/>
    </row>
    <row r="20" spans="2:28">
      <c r="B20" s="11">
        <v>10</v>
      </c>
      <c r="C20" s="1" t="s">
        <v>490</v>
      </c>
      <c r="D20" s="1" t="s">
        <v>491</v>
      </c>
      <c r="E20" s="1" t="s">
        <v>492</v>
      </c>
      <c r="F20" s="29" t="s">
        <v>463</v>
      </c>
      <c r="G20" s="11">
        <v>2024</v>
      </c>
      <c r="H20" s="16">
        <v>45579</v>
      </c>
      <c r="I20" s="16">
        <v>45944</v>
      </c>
      <c r="J20" s="11" t="s">
        <v>493</v>
      </c>
      <c r="K20" s="12" t="s">
        <v>494</v>
      </c>
      <c r="L20" s="16">
        <v>45698</v>
      </c>
      <c r="M20" s="12" t="s">
        <v>40</v>
      </c>
      <c r="N20" s="11" t="s">
        <v>41</v>
      </c>
      <c r="O20" s="25">
        <v>10666750.35</v>
      </c>
      <c r="P20" s="2">
        <v>100</v>
      </c>
      <c r="Q20" s="25">
        <v>10666750.35</v>
      </c>
      <c r="R20" s="25">
        <v>5333375.1749999998</v>
      </c>
      <c r="S20" s="25">
        <v>5333376</v>
      </c>
      <c r="T20" s="25">
        <v>0</v>
      </c>
      <c r="U20" s="25">
        <v>-0.82500000018626451</v>
      </c>
      <c r="V20" s="25">
        <v>4853371</v>
      </c>
      <c r="W20" s="13">
        <v>0</v>
      </c>
      <c r="X20" s="13">
        <v>0</v>
      </c>
      <c r="Y20" s="13">
        <f>X20*91%</f>
        <v>0</v>
      </c>
      <c r="Z20" s="13"/>
      <c r="AA20" s="31"/>
      <c r="AB20" s="30"/>
    </row>
    <row r="21" spans="2:28">
      <c r="B21" s="11">
        <v>11</v>
      </c>
      <c r="C21" s="1" t="s">
        <v>495</v>
      </c>
      <c r="D21" s="1" t="s">
        <v>491</v>
      </c>
      <c r="E21" s="1" t="s">
        <v>492</v>
      </c>
      <c r="F21" s="29" t="s">
        <v>463</v>
      </c>
      <c r="G21" s="11">
        <v>2024</v>
      </c>
      <c r="H21" s="16">
        <v>45579</v>
      </c>
      <c r="I21" s="16">
        <v>45944</v>
      </c>
      <c r="J21" s="11" t="s">
        <v>493</v>
      </c>
      <c r="K21" s="12" t="s">
        <v>494</v>
      </c>
      <c r="L21" s="16">
        <v>45779</v>
      </c>
      <c r="M21" s="12" t="s">
        <v>40</v>
      </c>
      <c r="N21" s="11" t="s">
        <v>41</v>
      </c>
      <c r="O21" s="28">
        <v>235997750.69999999</v>
      </c>
      <c r="P21" s="2">
        <v>100</v>
      </c>
      <c r="Q21" s="25">
        <v>235997750.69999999</v>
      </c>
      <c r="R21" s="28">
        <v>117998875.34999999</v>
      </c>
      <c r="S21" s="28">
        <v>117998877</v>
      </c>
      <c r="T21" s="28">
        <v>0</v>
      </c>
      <c r="U21" s="25">
        <v>-1.6500000059604645</v>
      </c>
      <c r="V21" s="25">
        <v>107378977</v>
      </c>
      <c r="W21" s="18">
        <v>0</v>
      </c>
      <c r="X21" s="13">
        <v>353636477.10000002</v>
      </c>
      <c r="Y21" s="13">
        <f t="shared" ref="Y21:Y60" si="1">X21*91%</f>
        <v>321809194.16100001</v>
      </c>
      <c r="Z21" s="13"/>
      <c r="AA21" s="31"/>
      <c r="AB21" s="30"/>
    </row>
    <row r="22" spans="2:28">
      <c r="B22" s="11">
        <v>12</v>
      </c>
      <c r="C22" s="1" t="s">
        <v>496</v>
      </c>
      <c r="D22" s="1" t="s">
        <v>497</v>
      </c>
      <c r="E22" s="1" t="s">
        <v>498</v>
      </c>
      <c r="F22" s="29" t="s">
        <v>463</v>
      </c>
      <c r="G22" s="11">
        <v>2024</v>
      </c>
      <c r="H22" s="16">
        <v>45519</v>
      </c>
      <c r="I22" s="16">
        <v>45884</v>
      </c>
      <c r="J22" s="11" t="s">
        <v>499</v>
      </c>
      <c r="K22" s="12" t="s">
        <v>500</v>
      </c>
      <c r="L22" s="16">
        <v>45741</v>
      </c>
      <c r="M22" s="12" t="s">
        <v>40</v>
      </c>
      <c r="N22" s="11" t="s">
        <v>41</v>
      </c>
      <c r="O22" s="25">
        <v>39513742</v>
      </c>
      <c r="P22" s="2">
        <v>100</v>
      </c>
      <c r="Q22" s="25">
        <v>39513742</v>
      </c>
      <c r="R22" s="25">
        <v>19756871</v>
      </c>
      <c r="S22" s="25">
        <v>19756871</v>
      </c>
      <c r="T22" s="25">
        <v>0</v>
      </c>
      <c r="U22" s="25">
        <v>0</v>
      </c>
      <c r="V22" s="25">
        <v>17978753</v>
      </c>
      <c r="W22" s="13">
        <v>0</v>
      </c>
      <c r="X22" s="13">
        <v>0</v>
      </c>
      <c r="Y22" s="13">
        <f t="shared" si="1"/>
        <v>0</v>
      </c>
      <c r="Z22" s="13"/>
      <c r="AA22" s="31"/>
      <c r="AB22" s="30"/>
    </row>
    <row r="23" spans="2:28">
      <c r="B23" s="11">
        <v>13</v>
      </c>
      <c r="C23" s="1" t="s">
        <v>501</v>
      </c>
      <c r="D23" s="1" t="s">
        <v>502</v>
      </c>
      <c r="E23" s="1" t="s">
        <v>503</v>
      </c>
      <c r="F23" s="29" t="s">
        <v>463</v>
      </c>
      <c r="G23" s="11">
        <v>2024</v>
      </c>
      <c r="H23" s="16">
        <v>45555</v>
      </c>
      <c r="I23" s="16">
        <v>45920</v>
      </c>
      <c r="J23" s="11" t="s">
        <v>464</v>
      </c>
      <c r="K23" s="12" t="s">
        <v>464</v>
      </c>
      <c r="L23" s="16">
        <v>45646</v>
      </c>
      <c r="M23" s="12" t="s">
        <v>40</v>
      </c>
      <c r="N23" s="11" t="s">
        <v>41</v>
      </c>
      <c r="O23" s="28">
        <v>40521547</v>
      </c>
      <c r="P23" s="2">
        <v>100</v>
      </c>
      <c r="Q23" s="25">
        <v>40521547</v>
      </c>
      <c r="R23" s="28">
        <v>20260773.499999899</v>
      </c>
      <c r="S23" s="28">
        <v>20260773</v>
      </c>
      <c r="T23" s="28">
        <v>0</v>
      </c>
      <c r="U23" s="25">
        <v>0.50000010058283806</v>
      </c>
      <c r="V23" s="25">
        <v>18437304</v>
      </c>
      <c r="W23" s="18">
        <v>0</v>
      </c>
      <c r="X23" s="13">
        <v>0</v>
      </c>
      <c r="Y23" s="13">
        <f t="shared" si="1"/>
        <v>0</v>
      </c>
      <c r="Z23" s="13"/>
      <c r="AA23" s="31"/>
      <c r="AB23" s="30"/>
    </row>
    <row r="24" spans="2:28">
      <c r="B24" s="11">
        <v>14</v>
      </c>
      <c r="C24" s="1" t="s">
        <v>504</v>
      </c>
      <c r="D24" s="1" t="s">
        <v>505</v>
      </c>
      <c r="E24" s="1" t="s">
        <v>506</v>
      </c>
      <c r="F24" s="29" t="s">
        <v>463</v>
      </c>
      <c r="G24" s="11">
        <v>2024</v>
      </c>
      <c r="H24" s="16">
        <v>45607</v>
      </c>
      <c r="I24" s="16">
        <v>45972</v>
      </c>
      <c r="J24" s="11" t="s">
        <v>464</v>
      </c>
      <c r="K24" s="12" t="s">
        <v>464</v>
      </c>
      <c r="L24" s="16">
        <v>45638</v>
      </c>
      <c r="M24" s="12" t="s">
        <v>40</v>
      </c>
      <c r="N24" s="11" t="s">
        <v>41</v>
      </c>
      <c r="O24" s="25">
        <v>389355210</v>
      </c>
      <c r="P24" s="2">
        <v>100</v>
      </c>
      <c r="Q24" s="25">
        <v>389355210</v>
      </c>
      <c r="R24" s="25">
        <v>194677605</v>
      </c>
      <c r="S24" s="25">
        <v>194677605</v>
      </c>
      <c r="T24" s="25">
        <v>0</v>
      </c>
      <c r="U24" s="25">
        <v>0</v>
      </c>
      <c r="V24" s="25">
        <v>177156621</v>
      </c>
      <c r="W24" s="13">
        <v>0</v>
      </c>
      <c r="X24" s="13">
        <v>428971140</v>
      </c>
      <c r="Y24" s="13">
        <f t="shared" si="1"/>
        <v>390363737.40000004</v>
      </c>
      <c r="Z24" s="13"/>
      <c r="AA24" s="31"/>
      <c r="AB24" s="30"/>
    </row>
    <row r="25" spans="2:28">
      <c r="B25" s="11">
        <v>15</v>
      </c>
      <c r="C25" s="1" t="s">
        <v>507</v>
      </c>
      <c r="D25" s="1" t="s">
        <v>508</v>
      </c>
      <c r="E25" s="1" t="s">
        <v>509</v>
      </c>
      <c r="F25" s="29" t="s">
        <v>463</v>
      </c>
      <c r="G25" s="11">
        <v>2024</v>
      </c>
      <c r="H25" s="16">
        <v>45292</v>
      </c>
      <c r="I25" s="16">
        <v>45658</v>
      </c>
      <c r="J25" s="11" t="s">
        <v>464</v>
      </c>
      <c r="K25" s="12" t="s">
        <v>464</v>
      </c>
      <c r="L25" s="16">
        <v>45604</v>
      </c>
      <c r="M25" s="12" t="s">
        <v>40</v>
      </c>
      <c r="N25" s="11" t="s">
        <v>41</v>
      </c>
      <c r="O25" s="25">
        <v>37673422</v>
      </c>
      <c r="P25" s="2">
        <v>100</v>
      </c>
      <c r="Q25" s="25">
        <v>37673422</v>
      </c>
      <c r="R25" s="25">
        <v>18836711</v>
      </c>
      <c r="S25" s="25">
        <v>18836711</v>
      </c>
      <c r="T25" s="25">
        <v>0</v>
      </c>
      <c r="U25" s="25">
        <v>0</v>
      </c>
      <c r="V25" s="25">
        <v>17141407</v>
      </c>
      <c r="W25" s="13">
        <v>0</v>
      </c>
      <c r="X25" s="13">
        <v>405475452</v>
      </c>
      <c r="Y25" s="13">
        <f t="shared" si="1"/>
        <v>368982661.31999999</v>
      </c>
      <c r="Z25" s="13"/>
      <c r="AA25" s="31"/>
      <c r="AB25" s="30"/>
    </row>
    <row r="26" spans="2:28">
      <c r="B26" s="11">
        <v>16</v>
      </c>
      <c r="C26" s="1" t="s">
        <v>510</v>
      </c>
      <c r="D26" s="1" t="s">
        <v>511</v>
      </c>
      <c r="E26" s="1" t="s">
        <v>512</v>
      </c>
      <c r="F26" s="29" t="s">
        <v>463</v>
      </c>
      <c r="G26" s="11">
        <v>2024</v>
      </c>
      <c r="H26" s="16">
        <v>45310</v>
      </c>
      <c r="I26" s="16">
        <v>45676</v>
      </c>
      <c r="J26" s="11" t="s">
        <v>464</v>
      </c>
      <c r="K26" s="12" t="s">
        <v>464</v>
      </c>
      <c r="L26" s="16">
        <v>45552</v>
      </c>
      <c r="M26" s="12" t="s">
        <v>40</v>
      </c>
      <c r="N26" s="11" t="s">
        <v>41</v>
      </c>
      <c r="O26" s="25">
        <v>173875007</v>
      </c>
      <c r="P26" s="2">
        <v>100</v>
      </c>
      <c r="Q26" s="25">
        <v>173875007</v>
      </c>
      <c r="R26" s="25">
        <v>86937503.5</v>
      </c>
      <c r="S26" s="25">
        <v>86937505</v>
      </c>
      <c r="T26" s="25">
        <v>0</v>
      </c>
      <c r="U26" s="25">
        <v>-1.5</v>
      </c>
      <c r="V26" s="25">
        <v>79113128</v>
      </c>
      <c r="W26" s="13">
        <v>0</v>
      </c>
      <c r="X26" s="13">
        <v>152978350</v>
      </c>
      <c r="Y26" s="13">
        <f t="shared" si="1"/>
        <v>139210298.5</v>
      </c>
      <c r="Z26" s="13"/>
      <c r="AA26" s="31"/>
      <c r="AB26" s="30"/>
    </row>
    <row r="27" spans="2:28">
      <c r="B27" s="11">
        <v>17</v>
      </c>
      <c r="C27" s="1" t="s">
        <v>513</v>
      </c>
      <c r="D27" s="1" t="s">
        <v>514</v>
      </c>
      <c r="E27" s="1" t="s">
        <v>515</v>
      </c>
      <c r="F27" s="29" t="s">
        <v>463</v>
      </c>
      <c r="G27" s="11">
        <v>2024</v>
      </c>
      <c r="H27" s="16">
        <v>45460</v>
      </c>
      <c r="I27" s="16">
        <v>45825</v>
      </c>
      <c r="J27" s="11" t="s">
        <v>464</v>
      </c>
      <c r="K27" s="12" t="s">
        <v>464</v>
      </c>
      <c r="L27" s="16">
        <v>45779</v>
      </c>
      <c r="M27" s="12" t="s">
        <v>40</v>
      </c>
      <c r="N27" s="11" t="s">
        <v>41</v>
      </c>
      <c r="O27" s="25">
        <v>89546760</v>
      </c>
      <c r="P27" s="2">
        <v>100</v>
      </c>
      <c r="Q27" s="25">
        <v>89546760</v>
      </c>
      <c r="R27" s="25">
        <v>44773380</v>
      </c>
      <c r="S27" s="25">
        <v>44773382</v>
      </c>
      <c r="T27" s="25">
        <v>0</v>
      </c>
      <c r="U27" s="25">
        <v>-2</v>
      </c>
      <c r="V27" s="25">
        <v>40743776</v>
      </c>
      <c r="W27" s="13">
        <v>0</v>
      </c>
      <c r="X27" s="13">
        <v>0</v>
      </c>
      <c r="Y27" s="13">
        <f t="shared" si="1"/>
        <v>0</v>
      </c>
      <c r="Z27" s="13"/>
      <c r="AA27" s="31"/>
      <c r="AB27" s="30"/>
    </row>
    <row r="28" spans="2:28">
      <c r="B28" s="11">
        <v>18</v>
      </c>
      <c r="C28" s="1" t="s">
        <v>516</v>
      </c>
      <c r="D28" s="1" t="s">
        <v>517</v>
      </c>
      <c r="E28" s="1" t="s">
        <v>518</v>
      </c>
      <c r="F28" s="29" t="s">
        <v>463</v>
      </c>
      <c r="G28" s="11">
        <v>2024</v>
      </c>
      <c r="H28" s="16">
        <v>45450</v>
      </c>
      <c r="I28" s="16">
        <v>45815</v>
      </c>
      <c r="J28" s="11" t="s">
        <v>464</v>
      </c>
      <c r="K28" s="12" t="s">
        <v>464</v>
      </c>
      <c r="L28" s="16">
        <v>45555</v>
      </c>
      <c r="M28" s="12" t="s">
        <v>40</v>
      </c>
      <c r="N28" s="11" t="s">
        <v>41</v>
      </c>
      <c r="O28" s="25">
        <v>138954406</v>
      </c>
      <c r="P28" s="2">
        <v>100</v>
      </c>
      <c r="Q28" s="25">
        <v>138954406</v>
      </c>
      <c r="R28" s="25">
        <v>69477203</v>
      </c>
      <c r="S28" s="25">
        <v>69477203</v>
      </c>
      <c r="T28" s="25">
        <v>0</v>
      </c>
      <c r="U28" s="25">
        <v>0</v>
      </c>
      <c r="V28" s="25">
        <v>63224254</v>
      </c>
      <c r="W28" s="13">
        <v>0</v>
      </c>
      <c r="X28" s="13">
        <v>120769500</v>
      </c>
      <c r="Y28" s="13">
        <f t="shared" si="1"/>
        <v>109900245</v>
      </c>
      <c r="Z28" s="13"/>
      <c r="AA28" s="31"/>
      <c r="AB28" s="30"/>
    </row>
    <row r="29" spans="2:28">
      <c r="B29" s="11">
        <v>19</v>
      </c>
      <c r="C29" s="1" t="s">
        <v>519</v>
      </c>
      <c r="D29" s="1" t="s">
        <v>520</v>
      </c>
      <c r="E29" s="1" t="s">
        <v>521</v>
      </c>
      <c r="F29" s="29" t="s">
        <v>463</v>
      </c>
      <c r="G29" s="11">
        <v>2024</v>
      </c>
      <c r="H29" s="16">
        <v>45520</v>
      </c>
      <c r="I29" s="16">
        <v>45885</v>
      </c>
      <c r="J29" s="11" t="s">
        <v>464</v>
      </c>
      <c r="K29" s="12" t="s">
        <v>464</v>
      </c>
      <c r="L29" s="16">
        <v>45672</v>
      </c>
      <c r="M29" s="12" t="s">
        <v>40</v>
      </c>
      <c r="N29" s="11" t="s">
        <v>41</v>
      </c>
      <c r="O29" s="28">
        <v>293767746</v>
      </c>
      <c r="P29" s="2">
        <v>100</v>
      </c>
      <c r="Q29" s="25">
        <v>293767746</v>
      </c>
      <c r="R29" s="28">
        <v>146883873</v>
      </c>
      <c r="S29" s="28">
        <v>146883874</v>
      </c>
      <c r="T29" s="28">
        <v>0</v>
      </c>
      <c r="U29" s="25">
        <v>-1</v>
      </c>
      <c r="V29" s="25">
        <v>133664325</v>
      </c>
      <c r="W29" s="18">
        <v>0</v>
      </c>
      <c r="X29" s="13">
        <v>255611496</v>
      </c>
      <c r="Y29" s="13">
        <f t="shared" si="1"/>
        <v>232606461.36000001</v>
      </c>
      <c r="Z29" s="13"/>
      <c r="AA29" s="31"/>
      <c r="AB29" s="30"/>
    </row>
    <row r="30" spans="2:28">
      <c r="B30" s="11">
        <v>20</v>
      </c>
      <c r="C30" s="1" t="s">
        <v>522</v>
      </c>
      <c r="D30" s="1" t="s">
        <v>523</v>
      </c>
      <c r="E30" s="1" t="s">
        <v>524</v>
      </c>
      <c r="F30" s="29" t="s">
        <v>463</v>
      </c>
      <c r="G30" s="11">
        <v>2024</v>
      </c>
      <c r="H30" s="16">
        <v>45516</v>
      </c>
      <c r="I30" s="16">
        <v>45881</v>
      </c>
      <c r="J30" s="11" t="s">
        <v>464</v>
      </c>
      <c r="K30" s="12" t="s">
        <v>464</v>
      </c>
      <c r="L30" s="16">
        <v>45706</v>
      </c>
      <c r="M30" s="12" t="s">
        <v>40</v>
      </c>
      <c r="N30" s="11" t="s">
        <v>41</v>
      </c>
      <c r="O30" s="28">
        <v>469275000</v>
      </c>
      <c r="P30" s="2">
        <v>100</v>
      </c>
      <c r="Q30" s="25">
        <v>469275000</v>
      </c>
      <c r="R30" s="28">
        <v>234637500</v>
      </c>
      <c r="S30" s="28">
        <v>234637500</v>
      </c>
      <c r="T30" s="28">
        <v>0</v>
      </c>
      <c r="U30" s="25">
        <v>0</v>
      </c>
      <c r="V30" s="25">
        <v>213520125</v>
      </c>
      <c r="W30" s="18">
        <v>0</v>
      </c>
      <c r="X30" s="13">
        <v>0</v>
      </c>
      <c r="Y30" s="13">
        <f t="shared" si="1"/>
        <v>0</v>
      </c>
      <c r="Z30" s="13"/>
      <c r="AA30" s="31"/>
      <c r="AB30" s="30"/>
    </row>
    <row r="31" spans="2:28">
      <c r="B31" s="11">
        <v>21</v>
      </c>
      <c r="C31" s="1" t="s">
        <v>525</v>
      </c>
      <c r="D31" s="1" t="s">
        <v>526</v>
      </c>
      <c r="E31" s="1" t="s">
        <v>527</v>
      </c>
      <c r="F31" s="29" t="s">
        <v>463</v>
      </c>
      <c r="G31" s="11">
        <v>2024</v>
      </c>
      <c r="H31" s="16">
        <v>45453</v>
      </c>
      <c r="I31" s="16">
        <v>45818</v>
      </c>
      <c r="J31" s="11">
        <v>20</v>
      </c>
      <c r="K31" s="12" t="s">
        <v>528</v>
      </c>
      <c r="L31" s="16">
        <v>45654</v>
      </c>
      <c r="M31" s="12" t="s">
        <v>40</v>
      </c>
      <c r="N31" s="11" t="s">
        <v>41</v>
      </c>
      <c r="O31" s="25">
        <v>144005021</v>
      </c>
      <c r="P31" s="2">
        <v>100</v>
      </c>
      <c r="Q31" s="25">
        <v>144005021</v>
      </c>
      <c r="R31" s="25">
        <v>72002510.5</v>
      </c>
      <c r="S31" s="25">
        <v>72002511</v>
      </c>
      <c r="T31" s="25">
        <v>0</v>
      </c>
      <c r="U31" s="25">
        <v>-0.5</v>
      </c>
      <c r="V31" s="25">
        <v>65522285</v>
      </c>
      <c r="W31" s="13">
        <v>0</v>
      </c>
      <c r="X31" s="13">
        <v>118605716</v>
      </c>
      <c r="Y31" s="13">
        <f t="shared" si="1"/>
        <v>107931201.56</v>
      </c>
      <c r="Z31" s="13"/>
      <c r="AA31" s="31"/>
      <c r="AB31" s="30"/>
    </row>
    <row r="32" spans="2:28">
      <c r="B32" s="11">
        <v>22</v>
      </c>
      <c r="C32" s="1" t="s">
        <v>529</v>
      </c>
      <c r="D32" s="1" t="s">
        <v>530</v>
      </c>
      <c r="E32" s="1" t="s">
        <v>527</v>
      </c>
      <c r="F32" s="29" t="s">
        <v>463</v>
      </c>
      <c r="G32" s="11">
        <v>2024</v>
      </c>
      <c r="H32" s="16">
        <v>45601</v>
      </c>
      <c r="I32" s="16">
        <v>45966</v>
      </c>
      <c r="J32" s="11">
        <v>20</v>
      </c>
      <c r="K32" s="12" t="s">
        <v>528</v>
      </c>
      <c r="L32" s="16">
        <v>45695</v>
      </c>
      <c r="M32" s="12" t="s">
        <v>40</v>
      </c>
      <c r="N32" s="11" t="s">
        <v>41</v>
      </c>
      <c r="O32" s="28">
        <v>88409280</v>
      </c>
      <c r="P32" s="2">
        <v>100</v>
      </c>
      <c r="Q32" s="25">
        <v>88409280</v>
      </c>
      <c r="R32" s="28">
        <v>44204640</v>
      </c>
      <c r="S32" s="28">
        <v>44204640</v>
      </c>
      <c r="T32" s="28">
        <v>0</v>
      </c>
      <c r="U32" s="25">
        <v>0</v>
      </c>
      <c r="V32" s="25">
        <v>40226222</v>
      </c>
      <c r="W32" s="18">
        <v>0</v>
      </c>
      <c r="X32" s="13">
        <v>88409280</v>
      </c>
      <c r="Y32" s="13">
        <f t="shared" si="1"/>
        <v>80452444.799999997</v>
      </c>
      <c r="Z32" s="13"/>
      <c r="AA32" s="31"/>
      <c r="AB32" s="30"/>
    </row>
    <row r="33" spans="2:28">
      <c r="B33" s="11">
        <v>23</v>
      </c>
      <c r="C33" s="1" t="s">
        <v>531</v>
      </c>
      <c r="D33" s="1" t="s">
        <v>532</v>
      </c>
      <c r="E33" s="1" t="s">
        <v>533</v>
      </c>
      <c r="F33" s="29" t="s">
        <v>463</v>
      </c>
      <c r="G33" s="11">
        <v>2024</v>
      </c>
      <c r="H33" s="16">
        <v>45505</v>
      </c>
      <c r="I33" s="16">
        <v>45870</v>
      </c>
      <c r="J33" s="11">
        <v>29371</v>
      </c>
      <c r="K33" s="12" t="s">
        <v>534</v>
      </c>
      <c r="L33" s="16">
        <v>45526</v>
      </c>
      <c r="M33" s="12" t="s">
        <v>40</v>
      </c>
      <c r="N33" s="11" t="s">
        <v>41</v>
      </c>
      <c r="O33" s="25">
        <v>110242044</v>
      </c>
      <c r="P33" s="2">
        <v>100</v>
      </c>
      <c r="Q33" s="25">
        <v>110242044</v>
      </c>
      <c r="R33" s="25">
        <v>55121022</v>
      </c>
      <c r="S33" s="25">
        <v>55121021</v>
      </c>
      <c r="T33" s="25">
        <v>0</v>
      </c>
      <c r="U33" s="25">
        <v>1</v>
      </c>
      <c r="V33" s="25">
        <v>50160130</v>
      </c>
      <c r="W33" s="13">
        <v>0</v>
      </c>
      <c r="X33" s="13">
        <v>88853844</v>
      </c>
      <c r="Y33" s="13">
        <f t="shared" si="1"/>
        <v>80856998.040000007</v>
      </c>
      <c r="Z33" s="13"/>
      <c r="AA33" s="31"/>
      <c r="AB33" s="30"/>
    </row>
    <row r="34" spans="2:28">
      <c r="B34" s="11">
        <v>24</v>
      </c>
      <c r="C34" s="1" t="s">
        <v>535</v>
      </c>
      <c r="D34" s="1" t="s">
        <v>536</v>
      </c>
      <c r="E34" s="1" t="s">
        <v>537</v>
      </c>
      <c r="F34" s="29" t="s">
        <v>463</v>
      </c>
      <c r="G34" s="11">
        <v>2024</v>
      </c>
      <c r="H34" s="16">
        <v>45565</v>
      </c>
      <c r="I34" s="16">
        <v>45930</v>
      </c>
      <c r="J34" s="11">
        <v>-12</v>
      </c>
      <c r="K34" s="12" t="s">
        <v>538</v>
      </c>
      <c r="L34" s="16">
        <v>45771</v>
      </c>
      <c r="M34" s="12" t="s">
        <v>40</v>
      </c>
      <c r="N34" s="11" t="s">
        <v>41</v>
      </c>
      <c r="O34" s="25">
        <v>22284845</v>
      </c>
      <c r="P34" s="2">
        <v>100</v>
      </c>
      <c r="Q34" s="25">
        <v>22284845</v>
      </c>
      <c r="R34" s="25">
        <v>11142422.5</v>
      </c>
      <c r="S34" s="25">
        <v>11142421</v>
      </c>
      <c r="T34" s="25">
        <v>0</v>
      </c>
      <c r="U34" s="25">
        <v>1.5</v>
      </c>
      <c r="V34" s="25">
        <v>10139604</v>
      </c>
      <c r="W34" s="13">
        <v>0</v>
      </c>
      <c r="X34" s="13">
        <v>22284845</v>
      </c>
      <c r="Y34" s="13">
        <f t="shared" si="1"/>
        <v>20279208.949999999</v>
      </c>
      <c r="Z34" s="13"/>
      <c r="AA34" s="31"/>
      <c r="AB34" s="30"/>
    </row>
    <row r="35" spans="2:28">
      <c r="B35" s="11">
        <v>25</v>
      </c>
      <c r="C35" s="1" t="s">
        <v>539</v>
      </c>
      <c r="D35" s="1" t="s">
        <v>540</v>
      </c>
      <c r="E35" s="1" t="s">
        <v>541</v>
      </c>
      <c r="F35" s="29" t="s">
        <v>463</v>
      </c>
      <c r="G35" s="11">
        <v>2024</v>
      </c>
      <c r="H35" s="16">
        <v>45457</v>
      </c>
      <c r="I35" s="16">
        <v>45822</v>
      </c>
      <c r="J35" s="11" t="s">
        <v>464</v>
      </c>
      <c r="K35" s="12" t="s">
        <v>464</v>
      </c>
      <c r="L35" s="16">
        <v>45720</v>
      </c>
      <c r="M35" s="12" t="s">
        <v>40</v>
      </c>
      <c r="N35" s="11" t="s">
        <v>41</v>
      </c>
      <c r="O35" s="25">
        <v>225973556</v>
      </c>
      <c r="P35" s="2">
        <v>100</v>
      </c>
      <c r="Q35" s="25">
        <v>225973556</v>
      </c>
      <c r="R35" s="25">
        <v>112986778</v>
      </c>
      <c r="S35" s="25">
        <v>112986779</v>
      </c>
      <c r="T35" s="25">
        <v>0</v>
      </c>
      <c r="U35" s="25">
        <v>-1</v>
      </c>
      <c r="V35" s="25">
        <v>102817968</v>
      </c>
      <c r="W35" s="13">
        <v>0</v>
      </c>
      <c r="X35" s="13">
        <v>486000000</v>
      </c>
      <c r="Y35" s="13">
        <f t="shared" si="1"/>
        <v>442260000</v>
      </c>
      <c r="Z35" s="13"/>
      <c r="AA35" s="31"/>
      <c r="AB35" s="30"/>
    </row>
    <row r="36" spans="2:28">
      <c r="B36" s="11">
        <v>26</v>
      </c>
      <c r="C36" s="1" t="s">
        <v>542</v>
      </c>
      <c r="D36" s="1" t="s">
        <v>543</v>
      </c>
      <c r="E36" s="1" t="s">
        <v>544</v>
      </c>
      <c r="F36" s="29" t="s">
        <v>463</v>
      </c>
      <c r="G36" s="11">
        <v>2024</v>
      </c>
      <c r="H36" s="16">
        <v>45505</v>
      </c>
      <c r="I36" s="16">
        <v>45870</v>
      </c>
      <c r="J36" s="11" t="s">
        <v>464</v>
      </c>
      <c r="K36" s="12" t="s">
        <v>464</v>
      </c>
      <c r="L36" s="16">
        <v>45606</v>
      </c>
      <c r="M36" s="12" t="s">
        <v>40</v>
      </c>
      <c r="N36" s="11" t="s">
        <v>41</v>
      </c>
      <c r="O36" s="25">
        <v>71107349</v>
      </c>
      <c r="P36" s="2">
        <v>100</v>
      </c>
      <c r="Q36" s="25">
        <v>71107349</v>
      </c>
      <c r="R36" s="25">
        <v>35553674.5</v>
      </c>
      <c r="S36" s="25">
        <v>35553674</v>
      </c>
      <c r="T36" s="25">
        <v>0</v>
      </c>
      <c r="U36" s="25">
        <v>0.5</v>
      </c>
      <c r="V36" s="25">
        <v>32353844</v>
      </c>
      <c r="W36" s="13">
        <v>0</v>
      </c>
      <c r="X36" s="13">
        <v>71107349</v>
      </c>
      <c r="Y36" s="13">
        <f t="shared" si="1"/>
        <v>64707687.590000004</v>
      </c>
      <c r="Z36" s="13"/>
      <c r="AA36" s="31"/>
      <c r="AB36" s="30"/>
    </row>
    <row r="37" spans="2:28">
      <c r="B37" s="11">
        <v>27</v>
      </c>
      <c r="C37" s="1" t="s">
        <v>545</v>
      </c>
      <c r="D37" s="1" t="s">
        <v>543</v>
      </c>
      <c r="E37" s="1" t="s">
        <v>544</v>
      </c>
      <c r="F37" s="29" t="s">
        <v>463</v>
      </c>
      <c r="G37" s="11">
        <v>2024</v>
      </c>
      <c r="H37" s="16">
        <v>45505</v>
      </c>
      <c r="I37" s="16">
        <v>45870</v>
      </c>
      <c r="J37" s="11" t="s">
        <v>464</v>
      </c>
      <c r="K37" s="12" t="s">
        <v>464</v>
      </c>
      <c r="L37" s="16">
        <v>45833</v>
      </c>
      <c r="M37" s="12" t="s">
        <v>40</v>
      </c>
      <c r="N37" s="11" t="s">
        <v>41</v>
      </c>
      <c r="O37" s="28">
        <v>69098670</v>
      </c>
      <c r="P37" s="2">
        <v>100</v>
      </c>
      <c r="Q37" s="25">
        <v>69098670</v>
      </c>
      <c r="R37" s="28">
        <v>34549335</v>
      </c>
      <c r="S37" s="28">
        <v>34549336</v>
      </c>
      <c r="T37" s="28">
        <v>0</v>
      </c>
      <c r="U37" s="25">
        <v>-1</v>
      </c>
      <c r="V37" s="25">
        <v>31439895</v>
      </c>
      <c r="W37" s="18">
        <v>0</v>
      </c>
      <c r="X37" s="13">
        <v>79098670</v>
      </c>
      <c r="Y37" s="13">
        <f t="shared" si="1"/>
        <v>71979789.700000003</v>
      </c>
      <c r="Z37" s="13"/>
      <c r="AA37" s="31"/>
      <c r="AB37" s="30"/>
    </row>
    <row r="38" spans="2:28">
      <c r="B38" s="11">
        <v>28</v>
      </c>
      <c r="C38" s="1" t="s">
        <v>546</v>
      </c>
      <c r="D38" s="1" t="s">
        <v>547</v>
      </c>
      <c r="E38" s="1" t="s">
        <v>548</v>
      </c>
      <c r="F38" s="29" t="s">
        <v>463</v>
      </c>
      <c r="G38" s="11">
        <v>2024</v>
      </c>
      <c r="H38" s="16">
        <v>45529</v>
      </c>
      <c r="I38" s="16">
        <v>45894</v>
      </c>
      <c r="J38" s="11">
        <v>2142</v>
      </c>
      <c r="K38" s="12" t="s">
        <v>549</v>
      </c>
      <c r="L38" s="16">
        <v>45568</v>
      </c>
      <c r="M38" s="12" t="s">
        <v>87</v>
      </c>
      <c r="N38" s="11" t="s">
        <v>41</v>
      </c>
      <c r="O38" s="25">
        <v>254932500</v>
      </c>
      <c r="P38" s="2">
        <v>10</v>
      </c>
      <c r="Q38" s="25">
        <v>25493250</v>
      </c>
      <c r="R38" s="25">
        <v>12746625</v>
      </c>
      <c r="S38" s="25">
        <v>12746624</v>
      </c>
      <c r="T38" s="25">
        <v>0</v>
      </c>
      <c r="U38" s="25">
        <v>1</v>
      </c>
      <c r="V38" s="25">
        <v>11599429</v>
      </c>
      <c r="W38" s="13">
        <v>0</v>
      </c>
      <c r="X38" s="13">
        <v>0</v>
      </c>
      <c r="Y38" s="13">
        <f t="shared" si="1"/>
        <v>0</v>
      </c>
      <c r="Z38" s="13"/>
      <c r="AA38" s="31"/>
      <c r="AB38" s="30"/>
    </row>
    <row r="39" spans="2:28">
      <c r="B39" s="11">
        <v>29</v>
      </c>
      <c r="C39" s="1" t="s">
        <v>550</v>
      </c>
      <c r="D39" s="1" t="s">
        <v>551</v>
      </c>
      <c r="E39" s="1" t="s">
        <v>552</v>
      </c>
      <c r="F39" s="29" t="s">
        <v>463</v>
      </c>
      <c r="G39" s="11">
        <v>2024</v>
      </c>
      <c r="H39" s="16">
        <v>45596</v>
      </c>
      <c r="I39" s="16">
        <v>45961</v>
      </c>
      <c r="J39" s="11">
        <v>2742</v>
      </c>
      <c r="K39" s="12" t="s">
        <v>474</v>
      </c>
      <c r="L39" s="16">
        <v>45604</v>
      </c>
      <c r="M39" s="12" t="s">
        <v>87</v>
      </c>
      <c r="N39" s="11" t="s">
        <v>41</v>
      </c>
      <c r="O39" s="25">
        <v>37600000</v>
      </c>
      <c r="P39" s="2">
        <v>10</v>
      </c>
      <c r="Q39" s="25">
        <v>3760000</v>
      </c>
      <c r="R39" s="25">
        <v>1880000</v>
      </c>
      <c r="S39" s="25">
        <v>1880000</v>
      </c>
      <c r="T39" s="25">
        <v>0</v>
      </c>
      <c r="U39" s="25">
        <v>0</v>
      </c>
      <c r="V39" s="25">
        <v>1710800</v>
      </c>
      <c r="W39" s="13">
        <v>0</v>
      </c>
      <c r="X39" s="13">
        <v>0</v>
      </c>
      <c r="Y39" s="13">
        <f t="shared" si="1"/>
        <v>0</v>
      </c>
      <c r="Z39" s="13"/>
      <c r="AA39" s="31"/>
      <c r="AB39" s="30"/>
    </row>
    <row r="40" spans="2:28">
      <c r="B40" s="11">
        <v>30</v>
      </c>
      <c r="C40" s="1" t="s">
        <v>553</v>
      </c>
      <c r="D40" s="1" t="s">
        <v>554</v>
      </c>
      <c r="E40" s="1" t="s">
        <v>555</v>
      </c>
      <c r="F40" s="29" t="s">
        <v>463</v>
      </c>
      <c r="G40" s="11">
        <v>2024</v>
      </c>
      <c r="H40" s="16">
        <v>45560</v>
      </c>
      <c r="I40" s="16">
        <v>45925</v>
      </c>
      <c r="J40" s="11" t="s">
        <v>464</v>
      </c>
      <c r="K40" s="12" t="s">
        <v>464</v>
      </c>
      <c r="L40" s="16">
        <v>45706</v>
      </c>
      <c r="M40" s="12" t="s">
        <v>87</v>
      </c>
      <c r="N40" s="11" t="s">
        <v>41</v>
      </c>
      <c r="O40" s="25">
        <v>48495000</v>
      </c>
      <c r="P40" s="2">
        <v>10</v>
      </c>
      <c r="Q40" s="25">
        <v>4849500</v>
      </c>
      <c r="R40" s="25">
        <v>1029981.50555516</v>
      </c>
      <c r="S40" s="25">
        <v>955752</v>
      </c>
      <c r="T40" s="25">
        <v>0</v>
      </c>
      <c r="U40" s="25">
        <v>2863766.4944448401</v>
      </c>
      <c r="V40" s="25">
        <v>869734</v>
      </c>
      <c r="W40" s="13">
        <v>0</v>
      </c>
      <c r="X40" s="13">
        <v>0</v>
      </c>
      <c r="Y40" s="13">
        <f t="shared" si="1"/>
        <v>0</v>
      </c>
      <c r="Z40" s="13"/>
      <c r="AA40" s="31"/>
      <c r="AB40" s="30"/>
    </row>
    <row r="41" spans="2:28">
      <c r="B41" s="11">
        <v>31</v>
      </c>
      <c r="C41" s="1" t="s">
        <v>556</v>
      </c>
      <c r="D41" s="1" t="s">
        <v>554</v>
      </c>
      <c r="E41" s="1" t="s">
        <v>555</v>
      </c>
      <c r="F41" s="29" t="s">
        <v>463</v>
      </c>
      <c r="G41" s="11">
        <v>2024</v>
      </c>
      <c r="H41" s="16">
        <v>45560</v>
      </c>
      <c r="I41" s="16">
        <v>45925</v>
      </c>
      <c r="J41" s="11" t="s">
        <v>464</v>
      </c>
      <c r="K41" s="12" t="s">
        <v>464</v>
      </c>
      <c r="L41" s="16">
        <v>45773</v>
      </c>
      <c r="M41" s="12" t="s">
        <v>87</v>
      </c>
      <c r="N41" s="11" t="s">
        <v>41</v>
      </c>
      <c r="O41" s="25">
        <v>48495000</v>
      </c>
      <c r="P41" s="2">
        <v>10</v>
      </c>
      <c r="Q41" s="25">
        <v>4849500</v>
      </c>
      <c r="R41" s="25">
        <v>1029981.50555516</v>
      </c>
      <c r="S41" s="25">
        <v>74231</v>
      </c>
      <c r="T41" s="25">
        <v>0</v>
      </c>
      <c r="U41" s="25">
        <v>3745287.4944448401</v>
      </c>
      <c r="V41" s="25">
        <v>67549</v>
      </c>
      <c r="W41" s="13">
        <v>0</v>
      </c>
      <c r="X41" s="13">
        <v>0</v>
      </c>
      <c r="Y41" s="13">
        <f t="shared" si="1"/>
        <v>0</v>
      </c>
      <c r="Z41" s="13"/>
      <c r="AA41" s="31"/>
      <c r="AB41" s="30"/>
    </row>
    <row r="42" spans="2:28">
      <c r="B42" s="11">
        <v>32</v>
      </c>
      <c r="C42" s="1" t="s">
        <v>557</v>
      </c>
      <c r="D42" s="1" t="s">
        <v>554</v>
      </c>
      <c r="E42" s="1" t="s">
        <v>558</v>
      </c>
      <c r="F42" s="29" t="s">
        <v>463</v>
      </c>
      <c r="G42" s="11">
        <v>2024</v>
      </c>
      <c r="H42" s="16">
        <v>45560</v>
      </c>
      <c r="I42" s="16">
        <v>45925</v>
      </c>
      <c r="J42" s="11" t="s">
        <v>464</v>
      </c>
      <c r="K42" s="12" t="s">
        <v>464</v>
      </c>
      <c r="L42" s="16">
        <v>45852</v>
      </c>
      <c r="M42" s="12" t="s">
        <v>87</v>
      </c>
      <c r="N42" s="11" t="s">
        <v>41</v>
      </c>
      <c r="O42" s="25">
        <v>9766500</v>
      </c>
      <c r="P42" s="2">
        <v>10</v>
      </c>
      <c r="Q42" s="25">
        <v>976650</v>
      </c>
      <c r="R42" s="25">
        <v>429715.19700416003</v>
      </c>
      <c r="S42" s="25">
        <v>429715</v>
      </c>
      <c r="T42" s="25">
        <v>0</v>
      </c>
      <c r="U42" s="25">
        <v>117219.80299583997</v>
      </c>
      <c r="V42" s="25">
        <v>391041</v>
      </c>
      <c r="W42" s="13">
        <v>0</v>
      </c>
      <c r="X42" s="13">
        <v>0</v>
      </c>
      <c r="Y42" s="13">
        <f t="shared" si="1"/>
        <v>0</v>
      </c>
      <c r="Z42" s="13"/>
      <c r="AA42" s="31"/>
      <c r="AB42" s="30"/>
    </row>
    <row r="43" spans="2:28">
      <c r="B43" s="11">
        <v>33</v>
      </c>
      <c r="C43" s="1" t="s">
        <v>559</v>
      </c>
      <c r="D43" s="1" t="s">
        <v>560</v>
      </c>
      <c r="E43" s="1" t="s">
        <v>561</v>
      </c>
      <c r="F43" s="29" t="s">
        <v>463</v>
      </c>
      <c r="G43" s="11">
        <v>2024</v>
      </c>
      <c r="H43" s="16">
        <v>45536</v>
      </c>
      <c r="I43" s="16">
        <v>45901</v>
      </c>
      <c r="J43" s="11">
        <v>2902</v>
      </c>
      <c r="K43" s="12" t="s">
        <v>562</v>
      </c>
      <c r="L43" s="16">
        <v>45649</v>
      </c>
      <c r="M43" s="12" t="s">
        <v>87</v>
      </c>
      <c r="N43" s="11" t="s">
        <v>41</v>
      </c>
      <c r="O43" s="25">
        <v>29403140</v>
      </c>
      <c r="P43" s="2">
        <v>5</v>
      </c>
      <c r="Q43" s="25">
        <v>1470157</v>
      </c>
      <c r="R43" s="25">
        <v>735078.5</v>
      </c>
      <c r="S43" s="25">
        <v>735079</v>
      </c>
      <c r="T43" s="25">
        <v>0</v>
      </c>
      <c r="U43" s="25">
        <v>-0.5</v>
      </c>
      <c r="V43" s="25">
        <v>668921</v>
      </c>
      <c r="W43" s="13">
        <v>0</v>
      </c>
      <c r="X43" s="13">
        <v>0</v>
      </c>
      <c r="Y43" s="13">
        <f t="shared" si="1"/>
        <v>0</v>
      </c>
      <c r="Z43" s="13"/>
      <c r="AA43" s="31"/>
      <c r="AB43" s="30"/>
    </row>
    <row r="44" spans="2:28" s="14" customFormat="1">
      <c r="B44" s="11">
        <v>34</v>
      </c>
      <c r="C44" s="12" t="s">
        <v>563</v>
      </c>
      <c r="D44" s="12" t="s">
        <v>564</v>
      </c>
      <c r="E44" s="12" t="s">
        <v>565</v>
      </c>
      <c r="F44" s="29" t="s">
        <v>463</v>
      </c>
      <c r="G44" s="11">
        <v>2024</v>
      </c>
      <c r="H44" s="16">
        <v>45657</v>
      </c>
      <c r="I44" s="16">
        <v>46022</v>
      </c>
      <c r="J44" s="11">
        <v>2911</v>
      </c>
      <c r="K44" s="12" t="s">
        <v>566</v>
      </c>
      <c r="L44" s="16">
        <v>45691</v>
      </c>
      <c r="M44" s="12" t="s">
        <v>87</v>
      </c>
      <c r="N44" s="11" t="s">
        <v>41</v>
      </c>
      <c r="O44" s="25">
        <v>526979200</v>
      </c>
      <c r="P44" s="2">
        <v>5</v>
      </c>
      <c r="Q44" s="25">
        <v>26348960</v>
      </c>
      <c r="R44" s="25">
        <v>5461611.44002988</v>
      </c>
      <c r="S44" s="25">
        <v>5461611</v>
      </c>
      <c r="T44" s="25">
        <v>0</v>
      </c>
      <c r="U44" s="25">
        <v>15425737.559970118</v>
      </c>
      <c r="V44" s="25">
        <v>4970066</v>
      </c>
      <c r="W44" s="13">
        <v>0</v>
      </c>
      <c r="X44" s="13">
        <v>-925000000</v>
      </c>
      <c r="Y44" s="13">
        <f t="shared" si="1"/>
        <v>-841750000</v>
      </c>
      <c r="Z44" s="13"/>
      <c r="AA44" s="31"/>
      <c r="AB44" s="30"/>
    </row>
    <row r="45" spans="2:28">
      <c r="B45" s="11">
        <v>35</v>
      </c>
      <c r="C45" s="1" t="s">
        <v>567</v>
      </c>
      <c r="D45" s="1" t="s">
        <v>568</v>
      </c>
      <c r="E45" s="1" t="s">
        <v>569</v>
      </c>
      <c r="F45" s="29" t="s">
        <v>463</v>
      </c>
      <c r="G45" s="11">
        <v>2024</v>
      </c>
      <c r="H45" s="16">
        <v>45350</v>
      </c>
      <c r="I45" s="16">
        <v>45716</v>
      </c>
      <c r="J45" s="11">
        <v>2975</v>
      </c>
      <c r="K45" s="12" t="s">
        <v>570</v>
      </c>
      <c r="L45" s="16">
        <v>45366</v>
      </c>
      <c r="M45" s="12" t="s">
        <v>87</v>
      </c>
      <c r="N45" s="11" t="s">
        <v>41</v>
      </c>
      <c r="O45" s="25">
        <v>83262200</v>
      </c>
      <c r="P45" s="2">
        <v>12.5</v>
      </c>
      <c r="Q45" s="25">
        <v>10407775</v>
      </c>
      <c r="R45" s="25">
        <v>5203887.5</v>
      </c>
      <c r="S45" s="25">
        <v>5203888</v>
      </c>
      <c r="T45" s="25">
        <v>0</v>
      </c>
      <c r="U45" s="25">
        <v>-0.5</v>
      </c>
      <c r="V45" s="25">
        <v>4735538</v>
      </c>
      <c r="W45" s="13">
        <v>0</v>
      </c>
      <c r="X45" s="13">
        <v>0</v>
      </c>
      <c r="Y45" s="13">
        <f t="shared" si="1"/>
        <v>0</v>
      </c>
      <c r="Z45" s="13"/>
      <c r="AA45" s="31"/>
      <c r="AB45" s="30"/>
    </row>
    <row r="46" spans="2:28">
      <c r="B46" s="11">
        <v>36</v>
      </c>
      <c r="C46" s="1" t="s">
        <v>571</v>
      </c>
      <c r="D46" s="1" t="s">
        <v>572</v>
      </c>
      <c r="E46" s="1" t="s">
        <v>573</v>
      </c>
      <c r="F46" s="29" t="s">
        <v>463</v>
      </c>
      <c r="G46" s="11">
        <v>2024</v>
      </c>
      <c r="H46" s="16">
        <v>45350</v>
      </c>
      <c r="I46" s="16">
        <v>45716</v>
      </c>
      <c r="J46" s="11">
        <v>2975</v>
      </c>
      <c r="K46" s="12" t="s">
        <v>352</v>
      </c>
      <c r="L46" s="16">
        <v>45628</v>
      </c>
      <c r="M46" s="12" t="s">
        <v>87</v>
      </c>
      <c r="N46" s="11" t="s">
        <v>41</v>
      </c>
      <c r="O46" s="25">
        <v>40505000</v>
      </c>
      <c r="P46" s="2">
        <v>12.5</v>
      </c>
      <c r="Q46" s="25">
        <v>5063125</v>
      </c>
      <c r="R46" s="25">
        <v>2531562.5</v>
      </c>
      <c r="S46" s="25">
        <v>2531562</v>
      </c>
      <c r="T46" s="25">
        <v>0</v>
      </c>
      <c r="U46" s="25">
        <v>0.5</v>
      </c>
      <c r="V46" s="25">
        <v>2303722</v>
      </c>
      <c r="W46" s="13">
        <v>0</v>
      </c>
      <c r="X46" s="13">
        <v>0</v>
      </c>
      <c r="Y46" s="13">
        <f t="shared" si="1"/>
        <v>0</v>
      </c>
      <c r="Z46" s="13"/>
      <c r="AA46" s="31"/>
      <c r="AB46" s="30"/>
    </row>
    <row r="47" spans="2:28">
      <c r="B47" s="11">
        <v>37</v>
      </c>
      <c r="C47" s="1" t="s">
        <v>574</v>
      </c>
      <c r="D47" s="1" t="s">
        <v>575</v>
      </c>
      <c r="E47" s="1" t="s">
        <v>408</v>
      </c>
      <c r="F47" s="29" t="s">
        <v>463</v>
      </c>
      <c r="G47" s="11">
        <v>2024</v>
      </c>
      <c r="H47" s="16">
        <v>45444</v>
      </c>
      <c r="I47" s="16">
        <v>45992</v>
      </c>
      <c r="J47" s="11">
        <v>2972</v>
      </c>
      <c r="K47" s="12" t="s">
        <v>576</v>
      </c>
      <c r="L47" s="16">
        <v>45749</v>
      </c>
      <c r="M47" s="12" t="s">
        <v>87</v>
      </c>
      <c r="N47" s="11" t="s">
        <v>41</v>
      </c>
      <c r="O47" s="25">
        <v>16897520</v>
      </c>
      <c r="P47" s="2">
        <v>10</v>
      </c>
      <c r="Q47" s="25">
        <v>1689752</v>
      </c>
      <c r="R47" s="25">
        <v>844876</v>
      </c>
      <c r="S47" s="25">
        <v>844877</v>
      </c>
      <c r="T47" s="25">
        <v>0</v>
      </c>
      <c r="U47" s="25">
        <v>-1</v>
      </c>
      <c r="V47" s="25">
        <v>768837</v>
      </c>
      <c r="W47" s="13">
        <v>0</v>
      </c>
      <c r="X47" s="13">
        <v>0</v>
      </c>
      <c r="Y47" s="13">
        <f t="shared" si="1"/>
        <v>0</v>
      </c>
      <c r="Z47" s="13"/>
      <c r="AA47" s="31"/>
      <c r="AB47" s="30"/>
    </row>
    <row r="48" spans="2:28">
      <c r="B48" s="11">
        <v>38</v>
      </c>
      <c r="C48" s="1" t="s">
        <v>577</v>
      </c>
      <c r="D48" s="1" t="s">
        <v>578</v>
      </c>
      <c r="E48" s="1" t="s">
        <v>579</v>
      </c>
      <c r="F48" s="29" t="s">
        <v>463</v>
      </c>
      <c r="G48" s="11">
        <v>2024</v>
      </c>
      <c r="H48" s="16">
        <v>45444</v>
      </c>
      <c r="I48" s="16">
        <v>45992</v>
      </c>
      <c r="J48" s="11">
        <v>2971</v>
      </c>
      <c r="K48" s="12" t="s">
        <v>580</v>
      </c>
      <c r="L48" s="16">
        <v>45588</v>
      </c>
      <c r="M48" s="12" t="s">
        <v>87</v>
      </c>
      <c r="N48" s="11" t="s">
        <v>41</v>
      </c>
      <c r="O48" s="25">
        <v>13998625</v>
      </c>
      <c r="P48" s="2">
        <v>10</v>
      </c>
      <c r="Q48" s="25">
        <v>1399862.5</v>
      </c>
      <c r="R48" s="25">
        <v>699931.25</v>
      </c>
      <c r="S48" s="25">
        <v>699932</v>
      </c>
      <c r="T48" s="25">
        <v>0</v>
      </c>
      <c r="U48" s="25">
        <v>-0.75</v>
      </c>
      <c r="V48" s="25">
        <v>636937</v>
      </c>
      <c r="W48" s="13">
        <v>0</v>
      </c>
      <c r="X48" s="13">
        <v>0</v>
      </c>
      <c r="Y48" s="13">
        <f t="shared" si="1"/>
        <v>0</v>
      </c>
      <c r="Z48" s="13"/>
      <c r="AA48" s="31"/>
      <c r="AB48" s="30"/>
    </row>
    <row r="49" spans="2:28">
      <c r="B49" s="11">
        <v>39</v>
      </c>
      <c r="C49" s="1" t="s">
        <v>581</v>
      </c>
      <c r="D49" s="1" t="s">
        <v>582</v>
      </c>
      <c r="E49" s="1" t="s">
        <v>583</v>
      </c>
      <c r="F49" s="29" t="s">
        <v>463</v>
      </c>
      <c r="G49" s="11">
        <v>2024</v>
      </c>
      <c r="H49" s="16">
        <v>45444</v>
      </c>
      <c r="I49" s="16">
        <v>45992</v>
      </c>
      <c r="J49" s="11" t="s">
        <v>99</v>
      </c>
      <c r="K49" s="12" t="s">
        <v>584</v>
      </c>
      <c r="L49" s="16">
        <v>45511</v>
      </c>
      <c r="M49" s="12" t="s">
        <v>87</v>
      </c>
      <c r="N49" s="11" t="s">
        <v>41</v>
      </c>
      <c r="O49" s="25">
        <v>234000000</v>
      </c>
      <c r="P49" s="2">
        <v>10</v>
      </c>
      <c r="Q49" s="25">
        <v>23400000</v>
      </c>
      <c r="R49" s="25">
        <v>11700000</v>
      </c>
      <c r="S49" s="25">
        <v>11700000</v>
      </c>
      <c r="T49" s="25">
        <v>0</v>
      </c>
      <c r="U49" s="25">
        <v>0</v>
      </c>
      <c r="V49" s="25">
        <v>10647000</v>
      </c>
      <c r="W49" s="13">
        <v>0</v>
      </c>
      <c r="X49" s="13">
        <v>0</v>
      </c>
      <c r="Y49" s="13">
        <f t="shared" si="1"/>
        <v>0</v>
      </c>
      <c r="Z49" s="13"/>
      <c r="AA49" s="31"/>
      <c r="AB49" s="30"/>
    </row>
    <row r="50" spans="2:28">
      <c r="B50" s="11">
        <v>40</v>
      </c>
      <c r="C50" s="1" t="s">
        <v>585</v>
      </c>
      <c r="D50" s="1" t="s">
        <v>586</v>
      </c>
      <c r="E50" s="1" t="s">
        <v>587</v>
      </c>
      <c r="F50" s="29" t="s">
        <v>463</v>
      </c>
      <c r="G50" s="11">
        <v>2024</v>
      </c>
      <c r="H50" s="16">
        <v>45473</v>
      </c>
      <c r="I50" s="16">
        <v>45992</v>
      </c>
      <c r="J50" s="11">
        <v>2973</v>
      </c>
      <c r="K50" s="12" t="s">
        <v>588</v>
      </c>
      <c r="L50" s="16">
        <v>45724</v>
      </c>
      <c r="M50" s="12" t="s">
        <v>87</v>
      </c>
      <c r="N50" s="11" t="s">
        <v>41</v>
      </c>
      <c r="O50" s="25">
        <v>154994400</v>
      </c>
      <c r="P50" s="2">
        <v>10</v>
      </c>
      <c r="Q50" s="25">
        <v>15499440</v>
      </c>
      <c r="R50" s="25">
        <v>7749720</v>
      </c>
      <c r="S50" s="25">
        <v>7749719</v>
      </c>
      <c r="T50" s="25">
        <v>0</v>
      </c>
      <c r="U50" s="25">
        <v>1</v>
      </c>
      <c r="V50" s="25">
        <v>7052245</v>
      </c>
      <c r="W50" s="13">
        <v>0</v>
      </c>
      <c r="X50" s="13">
        <v>154994400</v>
      </c>
      <c r="Y50" s="13">
        <f t="shared" si="1"/>
        <v>141044904</v>
      </c>
      <c r="Z50" s="13"/>
      <c r="AA50" s="31"/>
      <c r="AB50" s="30"/>
    </row>
    <row r="51" spans="2:28">
      <c r="B51" s="11">
        <v>41</v>
      </c>
      <c r="C51" s="1" t="s">
        <v>589</v>
      </c>
      <c r="D51" s="1" t="s">
        <v>590</v>
      </c>
      <c r="E51" s="1" t="s">
        <v>591</v>
      </c>
      <c r="F51" s="29" t="s">
        <v>463</v>
      </c>
      <c r="G51" s="11">
        <v>2024</v>
      </c>
      <c r="H51" s="16">
        <v>45505</v>
      </c>
      <c r="I51" s="16">
        <v>46022</v>
      </c>
      <c r="J51" s="11">
        <v>29313</v>
      </c>
      <c r="K51" s="12" t="s">
        <v>362</v>
      </c>
      <c r="L51" s="16">
        <v>45674</v>
      </c>
      <c r="M51" s="12" t="s">
        <v>87</v>
      </c>
      <c r="N51" s="11" t="s">
        <v>41</v>
      </c>
      <c r="O51" s="25">
        <v>27000000</v>
      </c>
      <c r="P51" s="2">
        <v>11.5</v>
      </c>
      <c r="Q51" s="25">
        <v>3105000</v>
      </c>
      <c r="R51" s="25">
        <v>1552500</v>
      </c>
      <c r="S51" s="25">
        <v>1552500</v>
      </c>
      <c r="T51" s="25">
        <v>0</v>
      </c>
      <c r="U51" s="25">
        <v>0</v>
      </c>
      <c r="V51" s="25">
        <v>1412775</v>
      </c>
      <c r="W51" s="13">
        <v>0</v>
      </c>
      <c r="X51" s="13">
        <v>0</v>
      </c>
      <c r="Y51" s="13">
        <f t="shared" si="1"/>
        <v>0</v>
      </c>
      <c r="Z51" s="13"/>
      <c r="AA51" s="31"/>
      <c r="AB51" s="30"/>
    </row>
    <row r="52" spans="2:28">
      <c r="B52" s="11">
        <v>42</v>
      </c>
      <c r="C52" s="1" t="s">
        <v>592</v>
      </c>
      <c r="D52" s="1" t="s">
        <v>593</v>
      </c>
      <c r="E52" s="1" t="s">
        <v>594</v>
      </c>
      <c r="F52" s="29" t="s">
        <v>463</v>
      </c>
      <c r="G52" s="11">
        <v>2024</v>
      </c>
      <c r="H52" s="16">
        <v>45657</v>
      </c>
      <c r="I52" s="16">
        <v>46022</v>
      </c>
      <c r="J52" s="11">
        <v>2742</v>
      </c>
      <c r="K52" s="12" t="s">
        <v>595</v>
      </c>
      <c r="L52" s="16">
        <v>45705</v>
      </c>
      <c r="M52" s="12" t="s">
        <v>87</v>
      </c>
      <c r="N52" s="11" t="s">
        <v>41</v>
      </c>
      <c r="O52" s="28">
        <v>15000000</v>
      </c>
      <c r="P52" s="2">
        <v>3</v>
      </c>
      <c r="Q52" s="25">
        <v>450000</v>
      </c>
      <c r="R52" s="28">
        <v>225000</v>
      </c>
      <c r="S52" s="28">
        <v>225000</v>
      </c>
      <c r="T52" s="28">
        <v>0</v>
      </c>
      <c r="U52" s="25">
        <v>0</v>
      </c>
      <c r="V52" s="25">
        <v>204750</v>
      </c>
      <c r="W52" s="18">
        <v>0</v>
      </c>
      <c r="X52" s="13">
        <v>0</v>
      </c>
      <c r="Y52" s="13">
        <f t="shared" si="1"/>
        <v>0</v>
      </c>
      <c r="Z52" s="13"/>
      <c r="AA52" s="31"/>
      <c r="AB52" s="30"/>
    </row>
    <row r="53" spans="2:28">
      <c r="B53" s="11">
        <v>43</v>
      </c>
      <c r="C53" s="1" t="s">
        <v>596</v>
      </c>
      <c r="D53" s="1" t="s">
        <v>597</v>
      </c>
      <c r="E53" s="1" t="s">
        <v>598</v>
      </c>
      <c r="F53" s="29" t="s">
        <v>463</v>
      </c>
      <c r="G53" s="11">
        <v>2024</v>
      </c>
      <c r="H53" s="16">
        <v>45657</v>
      </c>
      <c r="I53" s="16">
        <v>46022</v>
      </c>
      <c r="J53" s="11" t="s">
        <v>99</v>
      </c>
      <c r="K53" s="12" t="s">
        <v>599</v>
      </c>
      <c r="L53" s="16">
        <v>45675</v>
      </c>
      <c r="M53" s="12" t="s">
        <v>87</v>
      </c>
      <c r="N53" s="11" t="s">
        <v>41</v>
      </c>
      <c r="O53" s="25">
        <v>25718000</v>
      </c>
      <c r="P53" s="2">
        <v>10</v>
      </c>
      <c r="Q53" s="25">
        <v>2571800</v>
      </c>
      <c r="R53" s="25">
        <v>1285900</v>
      </c>
      <c r="S53" s="25">
        <v>1285900</v>
      </c>
      <c r="T53" s="25">
        <v>0</v>
      </c>
      <c r="U53" s="25">
        <v>0</v>
      </c>
      <c r="V53" s="25">
        <v>1170169</v>
      </c>
      <c r="W53" s="13">
        <v>0</v>
      </c>
      <c r="X53" s="13">
        <v>60000000</v>
      </c>
      <c r="Y53" s="13">
        <f t="shared" si="1"/>
        <v>54600000</v>
      </c>
      <c r="Z53" s="13"/>
      <c r="AA53" s="31"/>
      <c r="AB53" s="30"/>
    </row>
    <row r="54" spans="2:28">
      <c r="B54" s="11">
        <v>44</v>
      </c>
      <c r="C54" s="1" t="s">
        <v>600</v>
      </c>
      <c r="D54" s="1" t="s">
        <v>601</v>
      </c>
      <c r="E54" s="1" t="s">
        <v>602</v>
      </c>
      <c r="F54" s="29" t="s">
        <v>463</v>
      </c>
      <c r="G54" s="11">
        <v>2024</v>
      </c>
      <c r="H54" s="16">
        <v>45657</v>
      </c>
      <c r="I54" s="16">
        <v>46022</v>
      </c>
      <c r="J54" s="11">
        <v>2975</v>
      </c>
      <c r="K54" s="12" t="s">
        <v>576</v>
      </c>
      <c r="L54" s="16">
        <v>45664</v>
      </c>
      <c r="M54" s="12" t="s">
        <v>87</v>
      </c>
      <c r="N54" s="11" t="s">
        <v>41</v>
      </c>
      <c r="O54" s="25">
        <v>50000000</v>
      </c>
      <c r="P54" s="2">
        <v>10</v>
      </c>
      <c r="Q54" s="25">
        <v>5000000</v>
      </c>
      <c r="R54" s="25">
        <v>2500000</v>
      </c>
      <c r="S54" s="28">
        <v>2500000</v>
      </c>
      <c r="T54" s="28">
        <v>0</v>
      </c>
      <c r="U54" s="25">
        <v>0</v>
      </c>
      <c r="V54" s="25">
        <v>2275000</v>
      </c>
      <c r="W54" s="18">
        <v>0</v>
      </c>
      <c r="X54" s="13">
        <v>0</v>
      </c>
      <c r="Y54" s="13">
        <f t="shared" si="1"/>
        <v>0</v>
      </c>
      <c r="Z54" s="13"/>
      <c r="AA54" s="31"/>
      <c r="AB54" s="30"/>
    </row>
    <row r="55" spans="2:28">
      <c r="B55" s="11">
        <v>45</v>
      </c>
      <c r="C55" s="1" t="s">
        <v>603</v>
      </c>
      <c r="D55" s="1" t="s">
        <v>604</v>
      </c>
      <c r="E55" s="1" t="s">
        <v>605</v>
      </c>
      <c r="F55" s="29" t="s">
        <v>463</v>
      </c>
      <c r="G55" s="11">
        <v>2024</v>
      </c>
      <c r="H55" s="16">
        <v>45657</v>
      </c>
      <c r="I55" s="16">
        <v>46022</v>
      </c>
      <c r="J55" s="11">
        <v>2975</v>
      </c>
      <c r="K55" s="12" t="s">
        <v>606</v>
      </c>
      <c r="L55" s="16">
        <v>45687</v>
      </c>
      <c r="M55" s="12" t="s">
        <v>87</v>
      </c>
      <c r="N55" s="11" t="s">
        <v>41</v>
      </c>
      <c r="O55" s="25">
        <v>69971948</v>
      </c>
      <c r="P55" s="2">
        <v>10</v>
      </c>
      <c r="Q55" s="25">
        <v>6997194.7999999998</v>
      </c>
      <c r="R55" s="25">
        <v>3498597.4</v>
      </c>
      <c r="S55" s="25">
        <v>3498598</v>
      </c>
      <c r="T55" s="25">
        <v>0</v>
      </c>
      <c r="U55" s="25">
        <v>-0.60000000009313226</v>
      </c>
      <c r="V55" s="25">
        <v>3183724</v>
      </c>
      <c r="W55" s="13">
        <v>0</v>
      </c>
      <c r="X55" s="13">
        <v>0</v>
      </c>
      <c r="Y55" s="13">
        <f t="shared" si="1"/>
        <v>0</v>
      </c>
      <c r="Z55" s="13"/>
      <c r="AA55" s="31"/>
      <c r="AB55" s="30"/>
    </row>
    <row r="56" spans="2:28">
      <c r="B56" s="11">
        <v>46</v>
      </c>
      <c r="C56" s="1" t="s">
        <v>607</v>
      </c>
      <c r="D56" s="1" t="s">
        <v>608</v>
      </c>
      <c r="E56" s="1" t="s">
        <v>609</v>
      </c>
      <c r="F56" s="29" t="s">
        <v>463</v>
      </c>
      <c r="G56" s="11">
        <v>2024</v>
      </c>
      <c r="H56" s="16">
        <v>45327</v>
      </c>
      <c r="I56" s="16">
        <v>45693</v>
      </c>
      <c r="J56" s="11" t="s">
        <v>464</v>
      </c>
      <c r="K56" s="12" t="s">
        <v>464</v>
      </c>
      <c r="L56" s="16">
        <v>45641</v>
      </c>
      <c r="M56" s="12" t="s">
        <v>87</v>
      </c>
      <c r="N56" s="11" t="s">
        <v>41</v>
      </c>
      <c r="O56" s="28">
        <v>423644652.99999994</v>
      </c>
      <c r="P56" s="2">
        <v>20</v>
      </c>
      <c r="Q56" s="25">
        <v>84728930.599999994</v>
      </c>
      <c r="R56" s="28">
        <v>42364465.299999997</v>
      </c>
      <c r="S56" s="28">
        <v>42364464</v>
      </c>
      <c r="T56" s="28">
        <v>0</v>
      </c>
      <c r="U56" s="25">
        <v>1.2999999970197678</v>
      </c>
      <c r="V56" s="25">
        <v>38551663</v>
      </c>
      <c r="W56" s="18">
        <v>0</v>
      </c>
      <c r="X56" s="13">
        <v>0</v>
      </c>
      <c r="Y56" s="13">
        <f t="shared" si="1"/>
        <v>0</v>
      </c>
      <c r="Z56" s="13"/>
      <c r="AA56" s="31"/>
      <c r="AB56" s="30"/>
    </row>
    <row r="57" spans="2:28" s="14" customFormat="1">
      <c r="B57" s="11">
        <v>47</v>
      </c>
      <c r="C57" s="12" t="s">
        <v>610</v>
      </c>
      <c r="D57" s="12" t="s">
        <v>611</v>
      </c>
      <c r="E57" s="12" t="s">
        <v>612</v>
      </c>
      <c r="F57" s="29" t="s">
        <v>463</v>
      </c>
      <c r="G57" s="11">
        <v>2024</v>
      </c>
      <c r="H57" s="16">
        <v>45337</v>
      </c>
      <c r="I57" s="16">
        <v>45703</v>
      </c>
      <c r="J57" s="11" t="s">
        <v>464</v>
      </c>
      <c r="K57" s="12" t="s">
        <v>464</v>
      </c>
      <c r="L57" s="16">
        <v>45490</v>
      </c>
      <c r="M57" s="12" t="s">
        <v>87</v>
      </c>
      <c r="N57" s="11" t="s">
        <v>41</v>
      </c>
      <c r="O57" s="25">
        <v>394430352</v>
      </c>
      <c r="P57" s="2">
        <v>12.5</v>
      </c>
      <c r="Q57" s="25">
        <v>49303794</v>
      </c>
      <c r="R57" s="25">
        <v>24651897.000000101</v>
      </c>
      <c r="S57" s="25">
        <v>24651897</v>
      </c>
      <c r="T57" s="25">
        <v>0</v>
      </c>
      <c r="U57" s="25">
        <v>-1.0058283805847168E-7</v>
      </c>
      <c r="V57" s="25">
        <v>22433226</v>
      </c>
      <c r="W57" s="13">
        <v>0</v>
      </c>
      <c r="X57" s="13">
        <v>14812704000</v>
      </c>
      <c r="Y57" s="13">
        <f t="shared" si="1"/>
        <v>13479560640</v>
      </c>
      <c r="Z57" s="13"/>
      <c r="AA57" s="31"/>
      <c r="AB57" s="30"/>
    </row>
    <row r="58" spans="2:28">
      <c r="B58" s="11">
        <v>48</v>
      </c>
      <c r="C58" s="1" t="s">
        <v>613</v>
      </c>
      <c r="D58" s="1" t="s">
        <v>614</v>
      </c>
      <c r="E58" s="1" t="s">
        <v>615</v>
      </c>
      <c r="F58" s="29" t="s">
        <v>463</v>
      </c>
      <c r="G58" s="11">
        <v>2024</v>
      </c>
      <c r="H58" s="16">
        <v>45398</v>
      </c>
      <c r="I58" s="16">
        <v>45763</v>
      </c>
      <c r="J58" s="11" t="s">
        <v>464</v>
      </c>
      <c r="K58" s="12" t="s">
        <v>464</v>
      </c>
      <c r="L58" s="16">
        <v>45580</v>
      </c>
      <c r="M58" s="12" t="s">
        <v>87</v>
      </c>
      <c r="N58" s="11" t="s">
        <v>41</v>
      </c>
      <c r="O58" s="25">
        <v>297144152.09999996</v>
      </c>
      <c r="P58" s="2">
        <v>20</v>
      </c>
      <c r="Q58" s="25">
        <v>59428830.420000002</v>
      </c>
      <c r="R58" s="25">
        <v>29714415.210000001</v>
      </c>
      <c r="S58" s="25">
        <v>29714415</v>
      </c>
      <c r="T58" s="25">
        <v>0</v>
      </c>
      <c r="U58" s="25">
        <v>0.21000000089406967</v>
      </c>
      <c r="V58" s="25">
        <v>27040118</v>
      </c>
      <c r="W58" s="13">
        <v>0</v>
      </c>
      <c r="X58" s="13">
        <v>297144152.10000002</v>
      </c>
      <c r="Y58" s="13">
        <f t="shared" si="1"/>
        <v>270401178.41100001</v>
      </c>
      <c r="Z58" s="13"/>
      <c r="AA58" s="31"/>
      <c r="AB58" s="30"/>
    </row>
    <row r="59" spans="2:28">
      <c r="B59" s="11">
        <v>49</v>
      </c>
      <c r="C59" s="1" t="s">
        <v>616</v>
      </c>
      <c r="D59" s="1" t="s">
        <v>617</v>
      </c>
      <c r="E59" s="1" t="s">
        <v>618</v>
      </c>
      <c r="F59" s="29" t="s">
        <v>463</v>
      </c>
      <c r="G59" s="11">
        <v>2024</v>
      </c>
      <c r="H59" s="16">
        <v>45551</v>
      </c>
      <c r="I59" s="16">
        <v>45916</v>
      </c>
      <c r="J59" s="11" t="s">
        <v>464</v>
      </c>
      <c r="K59" s="12" t="s">
        <v>464</v>
      </c>
      <c r="L59" s="16">
        <v>45695</v>
      </c>
      <c r="M59" s="12" t="s">
        <v>87</v>
      </c>
      <c r="N59" s="11" t="s">
        <v>41</v>
      </c>
      <c r="O59" s="25">
        <v>22289785</v>
      </c>
      <c r="P59" s="2">
        <v>20</v>
      </c>
      <c r="Q59" s="25">
        <v>4457957</v>
      </c>
      <c r="R59" s="25">
        <v>2228978.5</v>
      </c>
      <c r="S59" s="25">
        <v>2228979</v>
      </c>
      <c r="T59" s="25">
        <v>0</v>
      </c>
      <c r="U59" s="25">
        <v>-0.5</v>
      </c>
      <c r="V59" s="25">
        <v>2028370</v>
      </c>
      <c r="W59" s="13">
        <v>0</v>
      </c>
      <c r="X59" s="13">
        <v>0</v>
      </c>
      <c r="Y59" s="13">
        <f t="shared" si="1"/>
        <v>0</v>
      </c>
      <c r="Z59" s="13"/>
      <c r="AA59" s="31"/>
      <c r="AB59" s="30"/>
    </row>
    <row r="60" spans="2:28">
      <c r="B60" s="11">
        <v>50</v>
      </c>
      <c r="C60" s="1" t="s">
        <v>619</v>
      </c>
      <c r="D60" s="1" t="s">
        <v>617</v>
      </c>
      <c r="E60" s="1" t="s">
        <v>618</v>
      </c>
      <c r="F60" s="29" t="s">
        <v>463</v>
      </c>
      <c r="G60" s="11">
        <v>2024</v>
      </c>
      <c r="H60" s="16">
        <v>45551</v>
      </c>
      <c r="I60" s="16">
        <v>45916</v>
      </c>
      <c r="J60" s="11" t="s">
        <v>464</v>
      </c>
      <c r="K60" s="12" t="s">
        <v>464</v>
      </c>
      <c r="L60" s="16">
        <v>45763</v>
      </c>
      <c r="M60" s="12" t="s">
        <v>87</v>
      </c>
      <c r="N60" s="11" t="s">
        <v>41</v>
      </c>
      <c r="O60" s="25">
        <v>19984708</v>
      </c>
      <c r="P60" s="2">
        <v>20</v>
      </c>
      <c r="Q60" s="25">
        <v>3996941.6</v>
      </c>
      <c r="R60" s="25">
        <v>1998470.8</v>
      </c>
      <c r="S60" s="25">
        <v>1998470</v>
      </c>
      <c r="T60" s="25">
        <v>0</v>
      </c>
      <c r="U60" s="25">
        <v>0.80000000004656613</v>
      </c>
      <c r="V60" s="25">
        <v>1818608</v>
      </c>
      <c r="W60" s="13">
        <v>0</v>
      </c>
      <c r="X60" s="13">
        <v>150000000</v>
      </c>
      <c r="Y60" s="13">
        <f t="shared" si="1"/>
        <v>136500000</v>
      </c>
      <c r="Z60" s="13"/>
      <c r="AA60" s="31"/>
      <c r="AB60" s="30"/>
    </row>
    <row r="61" spans="2:28">
      <c r="B61" s="11">
        <v>51</v>
      </c>
      <c r="C61" s="1" t="s">
        <v>620</v>
      </c>
      <c r="D61" s="1" t="s">
        <v>621</v>
      </c>
      <c r="E61" s="1" t="s">
        <v>622</v>
      </c>
      <c r="F61" s="29" t="s">
        <v>463</v>
      </c>
      <c r="G61" s="11">
        <v>2025</v>
      </c>
      <c r="H61" s="16">
        <v>45724</v>
      </c>
      <c r="I61" s="16">
        <v>46089</v>
      </c>
      <c r="J61" s="11" t="s">
        <v>464</v>
      </c>
      <c r="K61" s="12" t="s">
        <v>464</v>
      </c>
      <c r="L61" s="16">
        <v>45803</v>
      </c>
      <c r="M61" s="12" t="s">
        <v>40</v>
      </c>
      <c r="N61" s="11" t="s">
        <v>41</v>
      </c>
      <c r="O61" s="25">
        <v>6500000</v>
      </c>
      <c r="P61" s="2">
        <v>100</v>
      </c>
      <c r="Q61" s="25">
        <v>6500000</v>
      </c>
      <c r="R61" s="25">
        <v>4550000</v>
      </c>
      <c r="S61" s="25">
        <v>1950000</v>
      </c>
      <c r="T61" s="25">
        <v>0</v>
      </c>
      <c r="U61" s="25">
        <v>0</v>
      </c>
      <c r="V61" s="25">
        <v>1891500</v>
      </c>
      <c r="W61" s="13">
        <v>0</v>
      </c>
      <c r="X61" s="13">
        <v>0</v>
      </c>
      <c r="Y61" s="13">
        <f>X61*97%</f>
        <v>0</v>
      </c>
      <c r="Z61" s="13"/>
      <c r="AA61" s="31"/>
      <c r="AB61" s="30"/>
    </row>
    <row r="62" spans="2:28">
      <c r="B62" s="11">
        <v>52</v>
      </c>
      <c r="C62" s="1" t="s">
        <v>623</v>
      </c>
      <c r="D62" s="1" t="s">
        <v>624</v>
      </c>
      <c r="E62" s="1" t="s">
        <v>625</v>
      </c>
      <c r="F62" s="29" t="s">
        <v>463</v>
      </c>
      <c r="G62" s="11">
        <v>2025</v>
      </c>
      <c r="H62" s="16">
        <v>45724</v>
      </c>
      <c r="I62" s="16">
        <v>46089</v>
      </c>
      <c r="J62" s="11" t="s">
        <v>464</v>
      </c>
      <c r="K62" s="12" t="s">
        <v>464</v>
      </c>
      <c r="L62" s="16">
        <v>45774</v>
      </c>
      <c r="M62" s="12" t="s">
        <v>40</v>
      </c>
      <c r="N62" s="11" t="s">
        <v>41</v>
      </c>
      <c r="O62" s="25">
        <v>16390425</v>
      </c>
      <c r="P62" s="2">
        <v>100</v>
      </c>
      <c r="Q62" s="25">
        <v>16390425</v>
      </c>
      <c r="R62" s="25">
        <v>11473297.5</v>
      </c>
      <c r="S62" s="25">
        <v>4917128</v>
      </c>
      <c r="T62" s="25">
        <v>0</v>
      </c>
      <c r="U62" s="25">
        <v>-0.5</v>
      </c>
      <c r="V62" s="25">
        <v>4769614</v>
      </c>
      <c r="W62" s="13">
        <v>0</v>
      </c>
      <c r="X62" s="13">
        <v>0</v>
      </c>
      <c r="Y62" s="13">
        <f t="shared" ref="Y62:Y65" si="2">X62*97%</f>
        <v>0</v>
      </c>
      <c r="Z62" s="13"/>
      <c r="AA62" s="31"/>
      <c r="AB62" s="30"/>
    </row>
    <row r="63" spans="2:28">
      <c r="B63" s="11">
        <v>53</v>
      </c>
      <c r="C63" s="1" t="s">
        <v>626</v>
      </c>
      <c r="D63" s="1" t="s">
        <v>627</v>
      </c>
      <c r="E63" s="1" t="s">
        <v>628</v>
      </c>
      <c r="F63" s="29" t="s">
        <v>463</v>
      </c>
      <c r="G63" s="11">
        <v>2025</v>
      </c>
      <c r="H63" s="16">
        <v>45757</v>
      </c>
      <c r="I63" s="16">
        <v>46122</v>
      </c>
      <c r="J63" s="11" t="s">
        <v>464</v>
      </c>
      <c r="K63" s="12" t="s">
        <v>464</v>
      </c>
      <c r="L63" s="16">
        <v>45770</v>
      </c>
      <c r="M63" s="12" t="s">
        <v>40</v>
      </c>
      <c r="N63" s="11" t="s">
        <v>41</v>
      </c>
      <c r="O63" s="25">
        <v>18808440</v>
      </c>
      <c r="P63" s="2">
        <v>100</v>
      </c>
      <c r="Q63" s="25">
        <v>18808440</v>
      </c>
      <c r="R63" s="25">
        <v>13165908</v>
      </c>
      <c r="S63" s="25">
        <v>5642532</v>
      </c>
      <c r="T63" s="25">
        <v>0</v>
      </c>
      <c r="U63" s="25">
        <v>0</v>
      </c>
      <c r="V63" s="25">
        <v>5473256</v>
      </c>
      <c r="W63" s="13">
        <v>0</v>
      </c>
      <c r="X63" s="13">
        <v>0</v>
      </c>
      <c r="Y63" s="13">
        <f t="shared" si="2"/>
        <v>0</v>
      </c>
      <c r="Z63" s="13"/>
      <c r="AA63" s="31"/>
      <c r="AB63" s="30"/>
    </row>
    <row r="64" spans="2:28">
      <c r="B64" s="11">
        <v>54</v>
      </c>
      <c r="C64" s="1" t="s">
        <v>629</v>
      </c>
      <c r="D64" s="1" t="s">
        <v>630</v>
      </c>
      <c r="E64" s="1" t="s">
        <v>631</v>
      </c>
      <c r="F64" s="29" t="s">
        <v>463</v>
      </c>
      <c r="G64" s="11">
        <v>2025</v>
      </c>
      <c r="H64" s="16">
        <v>45709</v>
      </c>
      <c r="I64" s="16">
        <v>45890</v>
      </c>
      <c r="J64" s="11" t="s">
        <v>464</v>
      </c>
      <c r="K64" s="12" t="s">
        <v>464</v>
      </c>
      <c r="L64" s="16">
        <v>45813</v>
      </c>
      <c r="M64" s="12" t="s">
        <v>40</v>
      </c>
      <c r="N64" s="11" t="s">
        <v>41</v>
      </c>
      <c r="O64" s="25">
        <v>254363718</v>
      </c>
      <c r="P64" s="2">
        <v>100</v>
      </c>
      <c r="Q64" s="25">
        <v>254363718</v>
      </c>
      <c r="R64" s="25">
        <v>178054602.59999999</v>
      </c>
      <c r="S64" s="25">
        <v>76309115</v>
      </c>
      <c r="T64" s="25">
        <v>0</v>
      </c>
      <c r="U64" s="25">
        <v>0.40000000596046448</v>
      </c>
      <c r="V64" s="25">
        <v>74019842</v>
      </c>
      <c r="W64" s="13">
        <v>0</v>
      </c>
      <c r="X64" s="13">
        <v>416409071</v>
      </c>
      <c r="Y64" s="13">
        <f t="shared" si="2"/>
        <v>403916798.87</v>
      </c>
      <c r="Z64" s="13"/>
      <c r="AA64" s="31"/>
      <c r="AB64" s="30"/>
    </row>
    <row r="65" spans="2:28">
      <c r="B65" s="11">
        <v>55</v>
      </c>
      <c r="C65" s="1" t="s">
        <v>632</v>
      </c>
      <c r="D65" s="1" t="s">
        <v>633</v>
      </c>
      <c r="E65" s="1" t="s">
        <v>634</v>
      </c>
      <c r="F65" s="29" t="s">
        <v>463</v>
      </c>
      <c r="G65" s="11">
        <v>2025</v>
      </c>
      <c r="H65" s="16">
        <v>45671</v>
      </c>
      <c r="I65" s="16">
        <v>46036</v>
      </c>
      <c r="J65" s="11" t="s">
        <v>464</v>
      </c>
      <c r="K65" s="12" t="s">
        <v>464</v>
      </c>
      <c r="L65" s="16">
        <v>45779</v>
      </c>
      <c r="M65" s="12" t="s">
        <v>133</v>
      </c>
      <c r="N65" s="11" t="s">
        <v>41</v>
      </c>
      <c r="O65" s="28">
        <v>614953650</v>
      </c>
      <c r="P65" s="2">
        <v>80</v>
      </c>
      <c r="Q65" s="25">
        <v>491962920</v>
      </c>
      <c r="R65" s="28">
        <v>344374044</v>
      </c>
      <c r="S65" s="28">
        <v>147588877</v>
      </c>
      <c r="T65" s="28">
        <v>0</v>
      </c>
      <c r="U65" s="25">
        <v>-1</v>
      </c>
      <c r="V65" s="25">
        <v>143161210</v>
      </c>
      <c r="W65" s="18">
        <v>0</v>
      </c>
      <c r="X65" s="13">
        <v>628500000</v>
      </c>
      <c r="Y65" s="13">
        <f t="shared" si="2"/>
        <v>609645000</v>
      </c>
      <c r="Z65" s="13"/>
      <c r="AA65" s="31"/>
      <c r="AB65" s="30"/>
    </row>
    <row r="66" spans="2:28">
      <c r="B66" s="11">
        <v>56</v>
      </c>
      <c r="C66" s="1" t="s">
        <v>465</v>
      </c>
      <c r="D66" s="1" t="s">
        <v>466</v>
      </c>
      <c r="E66" s="1" t="s">
        <v>467</v>
      </c>
      <c r="F66" s="29" t="s">
        <v>463</v>
      </c>
      <c r="G66" s="11">
        <v>2023</v>
      </c>
      <c r="H66" s="16">
        <v>45268</v>
      </c>
      <c r="I66" s="16">
        <v>45657</v>
      </c>
      <c r="J66" s="11" t="s">
        <v>464</v>
      </c>
      <c r="K66" s="12" t="s">
        <v>464</v>
      </c>
      <c r="L66" s="16">
        <v>45626</v>
      </c>
      <c r="M66" s="12" t="s">
        <v>87</v>
      </c>
      <c r="N66" s="11" t="s">
        <v>41</v>
      </c>
      <c r="O66" s="25">
        <v>5225025402</v>
      </c>
      <c r="P66" s="2">
        <v>15</v>
      </c>
      <c r="Q66" s="25">
        <v>783753810.29999995</v>
      </c>
      <c r="R66" s="25">
        <v>149991751.441089</v>
      </c>
      <c r="S66" s="25">
        <v>0</v>
      </c>
      <c r="T66" s="25">
        <v>483770307</v>
      </c>
      <c r="U66" s="25">
        <v>149991751.85891092</v>
      </c>
      <c r="V66" s="25">
        <v>0</v>
      </c>
      <c r="W66" s="13">
        <v>367665434</v>
      </c>
      <c r="X66" s="13">
        <v>6200000000</v>
      </c>
      <c r="Y66" s="13">
        <f t="shared" ref="Y66:Y69" si="3">X66*76%</f>
        <v>4712000000</v>
      </c>
      <c r="Z66" s="13"/>
      <c r="AA66" s="31"/>
      <c r="AB66" s="30"/>
    </row>
    <row r="67" spans="2:28">
      <c r="B67" s="11">
        <v>57</v>
      </c>
      <c r="C67" s="1" t="s">
        <v>468</v>
      </c>
      <c r="D67" s="1" t="s">
        <v>469</v>
      </c>
      <c r="E67" s="1" t="s">
        <v>470</v>
      </c>
      <c r="F67" s="29" t="s">
        <v>463</v>
      </c>
      <c r="G67" s="11">
        <v>2023</v>
      </c>
      <c r="H67" s="16">
        <v>45288</v>
      </c>
      <c r="I67" s="16">
        <v>45647</v>
      </c>
      <c r="J67" s="11" t="s">
        <v>464</v>
      </c>
      <c r="K67" s="12" t="s">
        <v>464</v>
      </c>
      <c r="L67" s="16">
        <v>45641</v>
      </c>
      <c r="M67" s="12" t="s">
        <v>87</v>
      </c>
      <c r="N67" s="11" t="s">
        <v>41</v>
      </c>
      <c r="O67" s="28">
        <v>501163855.80300003</v>
      </c>
      <c r="P67" s="2">
        <v>20</v>
      </c>
      <c r="Q67" s="25">
        <v>100232771.16060001</v>
      </c>
      <c r="R67" s="28">
        <v>19575790.883443799</v>
      </c>
      <c r="S67" s="28">
        <v>0</v>
      </c>
      <c r="T67" s="28">
        <v>61081190</v>
      </c>
      <c r="U67" s="25">
        <v>19575790.277156204</v>
      </c>
      <c r="V67" s="25">
        <v>0</v>
      </c>
      <c r="W67" s="18">
        <v>46421704</v>
      </c>
      <c r="X67" s="13">
        <v>522000000</v>
      </c>
      <c r="Y67" s="13">
        <f t="shared" si="3"/>
        <v>396720000</v>
      </c>
      <c r="Z67" s="13"/>
      <c r="AA67" s="31"/>
      <c r="AB67" s="30"/>
    </row>
    <row r="68" spans="2:28">
      <c r="B68" s="11">
        <v>58</v>
      </c>
      <c r="C68" s="1" t="s">
        <v>475</v>
      </c>
      <c r="D68" s="1" t="s">
        <v>476</v>
      </c>
      <c r="E68" s="1" t="s">
        <v>477</v>
      </c>
      <c r="F68" s="29" t="s">
        <v>463</v>
      </c>
      <c r="G68" s="11">
        <v>2023</v>
      </c>
      <c r="H68" s="16">
        <v>45222</v>
      </c>
      <c r="I68" s="16">
        <v>45656</v>
      </c>
      <c r="J68" s="11" t="s">
        <v>464</v>
      </c>
      <c r="K68" s="12" t="s">
        <v>464</v>
      </c>
      <c r="L68" s="16">
        <v>45606</v>
      </c>
      <c r="M68" s="12" t="s">
        <v>87</v>
      </c>
      <c r="N68" s="11" t="s">
        <v>41</v>
      </c>
      <c r="O68" s="25">
        <v>850000000</v>
      </c>
      <c r="P68" s="2">
        <v>10</v>
      </c>
      <c r="Q68" s="25">
        <v>85000000</v>
      </c>
      <c r="R68" s="25">
        <v>9194486.3247692995</v>
      </c>
      <c r="S68" s="25">
        <v>0</v>
      </c>
      <c r="T68" s="25">
        <v>66611028</v>
      </c>
      <c r="U68" s="25">
        <v>9194485.6752306968</v>
      </c>
      <c r="V68" s="25">
        <v>0</v>
      </c>
      <c r="W68" s="13">
        <v>50624381</v>
      </c>
      <c r="X68" s="13">
        <v>850000000</v>
      </c>
      <c r="Y68" s="13">
        <f t="shared" si="3"/>
        <v>646000000</v>
      </c>
      <c r="Z68" s="13"/>
      <c r="AA68" s="31"/>
      <c r="AB68" s="30"/>
    </row>
    <row r="69" spans="2:28">
      <c r="B69" s="11">
        <v>59</v>
      </c>
      <c r="C69" s="1" t="s">
        <v>487</v>
      </c>
      <c r="D69" s="1" t="s">
        <v>488</v>
      </c>
      <c r="E69" s="1" t="s">
        <v>489</v>
      </c>
      <c r="F69" s="29" t="s">
        <v>463</v>
      </c>
      <c r="G69" s="11">
        <v>2023</v>
      </c>
      <c r="H69" s="16">
        <v>45046</v>
      </c>
      <c r="I69" s="16">
        <v>45412</v>
      </c>
      <c r="J69" s="11" t="s">
        <v>464</v>
      </c>
      <c r="K69" s="12" t="s">
        <v>464</v>
      </c>
      <c r="L69" s="16">
        <v>45241</v>
      </c>
      <c r="M69" s="12" t="s">
        <v>269</v>
      </c>
      <c r="N69" s="11" t="s">
        <v>41</v>
      </c>
      <c r="O69" s="28">
        <v>24175830.524999999</v>
      </c>
      <c r="P69" s="2">
        <v>100</v>
      </c>
      <c r="Q69" s="25">
        <v>24175830.524999999</v>
      </c>
      <c r="R69" s="28">
        <v>7326009.25</v>
      </c>
      <c r="S69" s="28">
        <v>0</v>
      </c>
      <c r="T69" s="28">
        <v>9523811</v>
      </c>
      <c r="U69" s="25">
        <v>7326010.2749999985</v>
      </c>
      <c r="V69" s="25">
        <v>0</v>
      </c>
      <c r="W69" s="18">
        <v>7238097</v>
      </c>
      <c r="X69" s="13">
        <v>0</v>
      </c>
      <c r="Y69" s="13">
        <f t="shared" si="3"/>
        <v>0</v>
      </c>
      <c r="Z69" s="13"/>
      <c r="AA69" s="31"/>
      <c r="AB69" s="30"/>
    </row>
    <row r="70" spans="2:28">
      <c r="B70" s="11">
        <v>60</v>
      </c>
      <c r="C70" s="1" t="s">
        <v>553</v>
      </c>
      <c r="D70" s="1" t="s">
        <v>554</v>
      </c>
      <c r="E70" s="1" t="s">
        <v>555</v>
      </c>
      <c r="F70" s="29" t="s">
        <v>463</v>
      </c>
      <c r="G70" s="11">
        <v>2024</v>
      </c>
      <c r="H70" s="16">
        <v>45560</v>
      </c>
      <c r="I70" s="16">
        <v>45925</v>
      </c>
      <c r="J70" s="11" t="s">
        <v>464</v>
      </c>
      <c r="K70" s="12" t="s">
        <v>464</v>
      </c>
      <c r="L70" s="16">
        <v>45706</v>
      </c>
      <c r="M70" s="12" t="s">
        <v>87</v>
      </c>
      <c r="N70" s="11" t="s">
        <v>41</v>
      </c>
      <c r="O70" s="25">
        <v>48495000</v>
      </c>
      <c r="P70" s="2">
        <v>10</v>
      </c>
      <c r="Q70" s="25">
        <v>4849500</v>
      </c>
      <c r="R70" s="25">
        <v>1029981.50555516</v>
      </c>
      <c r="S70" s="25">
        <v>0</v>
      </c>
      <c r="T70" s="25">
        <v>2588497</v>
      </c>
      <c r="U70" s="25">
        <v>1231021.4944448401</v>
      </c>
      <c r="V70" s="25">
        <v>0</v>
      </c>
      <c r="W70" s="13">
        <v>2355532</v>
      </c>
      <c r="X70" s="13">
        <v>0</v>
      </c>
      <c r="Y70" s="13">
        <f t="shared" ref="Y70:Y73" si="4">X70*91%</f>
        <v>0</v>
      </c>
      <c r="Z70" s="13"/>
      <c r="AA70" s="31"/>
      <c r="AB70" s="30"/>
    </row>
    <row r="71" spans="2:28">
      <c r="B71" s="11">
        <v>61</v>
      </c>
      <c r="C71" s="1" t="s">
        <v>556</v>
      </c>
      <c r="D71" s="1" t="s">
        <v>554</v>
      </c>
      <c r="E71" s="1" t="s">
        <v>555</v>
      </c>
      <c r="F71" s="29" t="s">
        <v>463</v>
      </c>
      <c r="G71" s="11">
        <v>2024</v>
      </c>
      <c r="H71" s="16">
        <v>45560</v>
      </c>
      <c r="I71" s="16">
        <v>45925</v>
      </c>
      <c r="J71" s="11" t="s">
        <v>464</v>
      </c>
      <c r="K71" s="12" t="s">
        <v>464</v>
      </c>
      <c r="L71" s="16">
        <v>45773</v>
      </c>
      <c r="M71" s="12" t="s">
        <v>87</v>
      </c>
      <c r="N71" s="11" t="s">
        <v>41</v>
      </c>
      <c r="O71" s="25">
        <v>48495000</v>
      </c>
      <c r="P71" s="2">
        <v>10</v>
      </c>
      <c r="Q71" s="25">
        <v>4849500</v>
      </c>
      <c r="R71" s="25">
        <v>1029981.50555516</v>
      </c>
      <c r="S71" s="25">
        <v>0</v>
      </c>
      <c r="T71" s="25">
        <v>201040</v>
      </c>
      <c r="U71" s="25">
        <v>3618478.4944448401</v>
      </c>
      <c r="V71" s="25">
        <v>0</v>
      </c>
      <c r="W71" s="13">
        <v>182946</v>
      </c>
      <c r="X71" s="13">
        <v>0</v>
      </c>
      <c r="Y71" s="13">
        <f t="shared" si="4"/>
        <v>0</v>
      </c>
      <c r="Z71" s="13"/>
      <c r="AA71" s="31"/>
      <c r="AB71" s="30"/>
    </row>
    <row r="72" spans="2:28">
      <c r="B72" s="11">
        <v>62</v>
      </c>
      <c r="C72" s="1" t="s">
        <v>557</v>
      </c>
      <c r="D72" s="1" t="s">
        <v>554</v>
      </c>
      <c r="E72" s="1" t="s">
        <v>558</v>
      </c>
      <c r="F72" s="29" t="s">
        <v>463</v>
      </c>
      <c r="G72" s="11">
        <v>2024</v>
      </c>
      <c r="H72" s="16">
        <v>45560</v>
      </c>
      <c r="I72" s="16">
        <v>45925</v>
      </c>
      <c r="J72" s="11" t="s">
        <v>464</v>
      </c>
      <c r="K72" s="12" t="s">
        <v>464</v>
      </c>
      <c r="L72" s="16">
        <v>45852</v>
      </c>
      <c r="M72" s="12" t="s">
        <v>87</v>
      </c>
      <c r="N72" s="11" t="s">
        <v>41</v>
      </c>
      <c r="O72" s="25">
        <v>9766500</v>
      </c>
      <c r="P72" s="2">
        <v>10</v>
      </c>
      <c r="Q72" s="25">
        <v>976650</v>
      </c>
      <c r="R72" s="25">
        <v>429715.19700416003</v>
      </c>
      <c r="S72" s="25">
        <v>0</v>
      </c>
      <c r="T72" s="25">
        <v>117219</v>
      </c>
      <c r="U72" s="25">
        <v>429715.80299583997</v>
      </c>
      <c r="V72" s="25">
        <v>0</v>
      </c>
      <c r="W72" s="13">
        <v>106670</v>
      </c>
      <c r="X72" s="13">
        <v>0</v>
      </c>
      <c r="Y72" s="13">
        <f t="shared" si="4"/>
        <v>0</v>
      </c>
      <c r="Z72" s="13"/>
      <c r="AA72" s="31"/>
      <c r="AB72" s="30"/>
    </row>
    <row r="73" spans="2:28">
      <c r="B73" s="11">
        <v>63</v>
      </c>
      <c r="C73" s="1" t="s">
        <v>563</v>
      </c>
      <c r="D73" s="1" t="s">
        <v>564</v>
      </c>
      <c r="E73" s="1" t="s">
        <v>565</v>
      </c>
      <c r="F73" s="29" t="s">
        <v>463</v>
      </c>
      <c r="G73" s="11">
        <v>2024</v>
      </c>
      <c r="H73" s="16">
        <v>45657</v>
      </c>
      <c r="I73" s="16">
        <v>46022</v>
      </c>
      <c r="J73" s="11">
        <v>2911</v>
      </c>
      <c r="K73" s="12" t="s">
        <v>566</v>
      </c>
      <c r="L73" s="16">
        <v>45691</v>
      </c>
      <c r="M73" s="12" t="s">
        <v>87</v>
      </c>
      <c r="N73" s="11" t="s">
        <v>41</v>
      </c>
      <c r="O73" s="25">
        <v>526979200</v>
      </c>
      <c r="P73" s="2">
        <v>5</v>
      </c>
      <c r="Q73" s="25">
        <v>26348960</v>
      </c>
      <c r="R73" s="25">
        <v>5461611.44002988</v>
      </c>
      <c r="S73" s="25">
        <v>0</v>
      </c>
      <c r="T73" s="25">
        <v>15425738</v>
      </c>
      <c r="U73" s="25">
        <v>5461610.5599701181</v>
      </c>
      <c r="V73" s="25">
        <v>0</v>
      </c>
      <c r="W73" s="13">
        <v>14037421</v>
      </c>
      <c r="X73" s="13">
        <v>-925000000</v>
      </c>
      <c r="Y73" s="13">
        <f t="shared" si="4"/>
        <v>-841750000</v>
      </c>
      <c r="Z73" s="13"/>
      <c r="AA73" s="31"/>
      <c r="AB73" s="30"/>
    </row>
    <row r="74" spans="2:28">
      <c r="F74"/>
    </row>
    <row r="75" spans="2:28">
      <c r="F75"/>
      <c r="V75" s="17">
        <f>SUBTOTAL(9,V11:V73)</f>
        <v>1737126099</v>
      </c>
      <c r="W75" s="17">
        <f>SUBTOTAL(9,W11:W73)</f>
        <v>488632185</v>
      </c>
      <c r="X75" s="19"/>
    </row>
    <row r="76" spans="2:28">
      <c r="F76"/>
      <c r="W76" s="19"/>
    </row>
    <row r="77" spans="2:28">
      <c r="F77"/>
    </row>
    <row r="78" spans="2:28">
      <c r="F78"/>
    </row>
    <row r="79" spans="2:28">
      <c r="F79"/>
      <c r="G79"/>
    </row>
    <row r="80" spans="2:28">
      <c r="F80"/>
      <c r="G80"/>
    </row>
    <row r="81" spans="6:14">
      <c r="F81"/>
      <c r="G81"/>
    </row>
    <row r="82" spans="6:14">
      <c r="F82"/>
      <c r="G82"/>
    </row>
    <row r="83" spans="6:14">
      <c r="F83"/>
      <c r="G83"/>
    </row>
    <row r="84" spans="6:14">
      <c r="F84"/>
      <c r="G84"/>
    </row>
    <row r="85" spans="6:14">
      <c r="F85"/>
      <c r="G85"/>
      <c r="L85"/>
      <c r="N85"/>
    </row>
    <row r="86" spans="6:14">
      <c r="F86"/>
      <c r="G86"/>
      <c r="L86"/>
      <c r="N86"/>
    </row>
    <row r="87" spans="6:14">
      <c r="F87"/>
      <c r="G87"/>
      <c r="L87"/>
      <c r="N87"/>
    </row>
    <row r="88" spans="6:14">
      <c r="F88"/>
      <c r="G88"/>
      <c r="L88"/>
      <c r="N88"/>
    </row>
    <row r="89" spans="6:14">
      <c r="F89"/>
      <c r="G89"/>
      <c r="L89"/>
      <c r="N89"/>
    </row>
    <row r="90" spans="6:14">
      <c r="F90"/>
      <c r="G90"/>
      <c r="L90"/>
      <c r="N90"/>
    </row>
    <row r="91" spans="6:14">
      <c r="F91"/>
      <c r="G91"/>
      <c r="L91"/>
      <c r="N91"/>
    </row>
    <row r="92" spans="6:14">
      <c r="F92"/>
      <c r="G92"/>
    </row>
    <row r="93" spans="6:14">
      <c r="F93"/>
      <c r="G93"/>
    </row>
    <row r="94" spans="6:14">
      <c r="F94"/>
      <c r="G94"/>
    </row>
    <row r="95" spans="6:14">
      <c r="F95"/>
      <c r="G95"/>
    </row>
    <row r="96" spans="6:14">
      <c r="F96"/>
      <c r="G96"/>
    </row>
    <row r="97" spans="6:7">
      <c r="F97"/>
      <c r="G97"/>
    </row>
    <row r="98" spans="6:7">
      <c r="F98"/>
      <c r="G98"/>
    </row>
    <row r="99" spans="6:7">
      <c r="F99"/>
      <c r="G99"/>
    </row>
    <row r="100" spans="6:7">
      <c r="F100"/>
      <c r="G100"/>
    </row>
    <row r="101" spans="6:7">
      <c r="F101"/>
      <c r="G101"/>
    </row>
    <row r="102" spans="6:7">
      <c r="F102"/>
      <c r="G102"/>
    </row>
    <row r="103" spans="6:7">
      <c r="F103"/>
      <c r="G103"/>
    </row>
    <row r="104" spans="6:7">
      <c r="F104"/>
      <c r="G104"/>
    </row>
    <row r="105" spans="6:7">
      <c r="F105"/>
      <c r="G105"/>
    </row>
    <row r="106" spans="6:7">
      <c r="F106"/>
      <c r="G106"/>
    </row>
    <row r="107" spans="6:7">
      <c r="F107"/>
      <c r="G107"/>
    </row>
    <row r="108" spans="6:7">
      <c r="F108"/>
      <c r="G108"/>
    </row>
    <row r="109" spans="6:7">
      <c r="F109"/>
      <c r="G109"/>
    </row>
    <row r="110" spans="6:7">
      <c r="F110"/>
      <c r="G110"/>
    </row>
    <row r="111" spans="6:7">
      <c r="F111"/>
      <c r="G111"/>
    </row>
    <row r="112" spans="6:7">
      <c r="F112"/>
      <c r="G112"/>
    </row>
    <row r="113" spans="6:7">
      <c r="F113"/>
      <c r="G113"/>
    </row>
    <row r="114" spans="6:7">
      <c r="F114"/>
      <c r="G114"/>
    </row>
    <row r="115" spans="6:7">
      <c r="F115"/>
      <c r="G115"/>
    </row>
    <row r="116" spans="6:7">
      <c r="F116"/>
      <c r="G116"/>
    </row>
    <row r="117" spans="6:7">
      <c r="F117"/>
      <c r="G117"/>
    </row>
    <row r="118" spans="6:7">
      <c r="F118"/>
      <c r="G118"/>
    </row>
    <row r="119" spans="6:7">
      <c r="F119"/>
      <c r="G119"/>
    </row>
    <row r="120" spans="6:7">
      <c r="F120"/>
      <c r="G120"/>
    </row>
    <row r="121" spans="6:7">
      <c r="F121"/>
      <c r="G121"/>
    </row>
    <row r="122" spans="6:7">
      <c r="F122"/>
      <c r="G122"/>
    </row>
    <row r="123" spans="6:7">
      <c r="F123"/>
      <c r="G123"/>
    </row>
    <row r="124" spans="6:7">
      <c r="F124"/>
      <c r="G124"/>
    </row>
    <row r="125" spans="6:7">
      <c r="F125"/>
      <c r="G125"/>
    </row>
    <row r="126" spans="6:7">
      <c r="F126"/>
      <c r="G126"/>
    </row>
    <row r="127" spans="6:7">
      <c r="F127"/>
      <c r="G127"/>
    </row>
    <row r="128" spans="6:7">
      <c r="F128"/>
      <c r="G128"/>
    </row>
    <row r="129" spans="6:7">
      <c r="F129"/>
      <c r="G129"/>
    </row>
    <row r="130" spans="6:7">
      <c r="F130"/>
      <c r="G130"/>
    </row>
    <row r="131" spans="6:7">
      <c r="F131"/>
      <c r="G131"/>
    </row>
    <row r="132" spans="6:7">
      <c r="F132"/>
      <c r="G132"/>
    </row>
    <row r="133" spans="6:7">
      <c r="F133"/>
      <c r="G133"/>
    </row>
    <row r="134" spans="6:7">
      <c r="F134"/>
      <c r="G134"/>
    </row>
    <row r="135" spans="6:7">
      <c r="F135"/>
      <c r="G135"/>
    </row>
    <row r="136" spans="6:7">
      <c r="F136"/>
      <c r="G136"/>
    </row>
    <row r="137" spans="6:7">
      <c r="F137"/>
      <c r="G137"/>
    </row>
    <row r="138" spans="6:7">
      <c r="F138"/>
      <c r="G138"/>
    </row>
    <row r="139" spans="6:7">
      <c r="F139"/>
      <c r="G139"/>
    </row>
    <row r="140" spans="6:7">
      <c r="F140"/>
      <c r="G140"/>
    </row>
    <row r="141" spans="6:7">
      <c r="F141"/>
      <c r="G141"/>
    </row>
    <row r="142" spans="6:7">
      <c r="F142"/>
      <c r="G142"/>
    </row>
    <row r="143" spans="6:7">
      <c r="F143"/>
      <c r="G143"/>
    </row>
    <row r="144" spans="6:7">
      <c r="F144"/>
      <c r="G144"/>
    </row>
    <row r="145" spans="6:7">
      <c r="F145"/>
      <c r="G145"/>
    </row>
    <row r="146" spans="6:7">
      <c r="F146"/>
      <c r="G146"/>
    </row>
    <row r="147" spans="6:7">
      <c r="F147"/>
      <c r="G147"/>
    </row>
    <row r="148" spans="6:7">
      <c r="F148"/>
      <c r="G148"/>
    </row>
    <row r="149" spans="6:7">
      <c r="F149"/>
      <c r="G149"/>
    </row>
    <row r="150" spans="6:7">
      <c r="F150"/>
      <c r="G150"/>
    </row>
    <row r="151" spans="6:7">
      <c r="F151"/>
      <c r="G151"/>
    </row>
    <row r="152" spans="6:7">
      <c r="F152"/>
      <c r="G152"/>
    </row>
    <row r="153" spans="6:7">
      <c r="F153"/>
      <c r="G153"/>
    </row>
    <row r="154" spans="6:7">
      <c r="F154"/>
      <c r="G154"/>
    </row>
    <row r="155" spans="6:7">
      <c r="F155"/>
      <c r="G155"/>
    </row>
    <row r="156" spans="6:7">
      <c r="F156"/>
      <c r="G156"/>
    </row>
    <row r="157" spans="6:7">
      <c r="F157"/>
      <c r="G157"/>
    </row>
    <row r="158" spans="6:7">
      <c r="F158"/>
      <c r="G158"/>
    </row>
    <row r="159" spans="6:7">
      <c r="F159"/>
      <c r="G159"/>
    </row>
    <row r="160" spans="6:7">
      <c r="F160"/>
      <c r="G160"/>
    </row>
    <row r="161" spans="6:7">
      <c r="F161"/>
      <c r="G161"/>
    </row>
    <row r="162" spans="6:7">
      <c r="F162"/>
      <c r="G162"/>
    </row>
    <row r="163" spans="6:7">
      <c r="F163"/>
      <c r="G163"/>
    </row>
    <row r="164" spans="6:7">
      <c r="F164"/>
      <c r="G164"/>
    </row>
    <row r="165" spans="6:7">
      <c r="F165"/>
      <c r="G165"/>
    </row>
    <row r="166" spans="6:7">
      <c r="F166"/>
      <c r="G166"/>
    </row>
    <row r="167" spans="6:7">
      <c r="F167"/>
      <c r="G167"/>
    </row>
    <row r="168" spans="6:7">
      <c r="F168"/>
      <c r="G168"/>
    </row>
    <row r="169" spans="6:7">
      <c r="F169"/>
      <c r="G169"/>
    </row>
    <row r="170" spans="6:7">
      <c r="F170"/>
      <c r="G170"/>
    </row>
    <row r="171" spans="6:7">
      <c r="F171"/>
      <c r="G171"/>
    </row>
    <row r="172" spans="6:7">
      <c r="F172"/>
      <c r="G172"/>
    </row>
    <row r="173" spans="6:7">
      <c r="F173"/>
      <c r="G173"/>
    </row>
    <row r="174" spans="6:7">
      <c r="F174"/>
      <c r="G174"/>
    </row>
    <row r="175" spans="6:7">
      <c r="F175"/>
      <c r="G175"/>
    </row>
    <row r="176" spans="6:7">
      <c r="F176"/>
      <c r="G176"/>
    </row>
    <row r="177" spans="6:7">
      <c r="F177"/>
      <c r="G177"/>
    </row>
    <row r="178" spans="6:7">
      <c r="F178"/>
      <c r="G178"/>
    </row>
    <row r="179" spans="6:7">
      <c r="F179"/>
      <c r="G179"/>
    </row>
    <row r="180" spans="6:7">
      <c r="F180"/>
      <c r="G180"/>
    </row>
    <row r="181" spans="6:7">
      <c r="F181"/>
      <c r="G181"/>
    </row>
    <row r="182" spans="6:7">
      <c r="F182"/>
      <c r="G182"/>
    </row>
    <row r="183" spans="6:7">
      <c r="F183"/>
      <c r="G183"/>
    </row>
    <row r="184" spans="6:7">
      <c r="F184"/>
      <c r="G184"/>
    </row>
    <row r="185" spans="6:7">
      <c r="F185"/>
      <c r="G185"/>
    </row>
    <row r="186" spans="6:7">
      <c r="F186"/>
      <c r="G186"/>
    </row>
    <row r="187" spans="6:7">
      <c r="F187"/>
      <c r="G187"/>
    </row>
    <row r="188" spans="6:7">
      <c r="F188"/>
      <c r="G188"/>
    </row>
    <row r="189" spans="6:7">
      <c r="F189"/>
      <c r="G189"/>
    </row>
    <row r="190" spans="6:7">
      <c r="F190"/>
      <c r="G190"/>
    </row>
    <row r="191" spans="6:7">
      <c r="F191"/>
      <c r="G191"/>
    </row>
    <row r="192" spans="6:7">
      <c r="F192"/>
      <c r="G192"/>
    </row>
    <row r="193" spans="6:7">
      <c r="F193"/>
      <c r="G193"/>
    </row>
    <row r="194" spans="6:7">
      <c r="F194"/>
      <c r="G194"/>
    </row>
    <row r="195" spans="6:7">
      <c r="F195"/>
      <c r="G195"/>
    </row>
    <row r="196" spans="6:7">
      <c r="F196"/>
      <c r="G196"/>
    </row>
    <row r="197" spans="6:7">
      <c r="F197"/>
      <c r="G197"/>
    </row>
    <row r="198" spans="6:7">
      <c r="F198"/>
      <c r="G198"/>
    </row>
    <row r="199" spans="6:7">
      <c r="F199"/>
      <c r="G199"/>
    </row>
    <row r="200" spans="6:7">
      <c r="F200"/>
      <c r="G200"/>
    </row>
    <row r="201" spans="6:7">
      <c r="F201"/>
      <c r="G201"/>
    </row>
    <row r="202" spans="6:7">
      <c r="F202"/>
      <c r="G202"/>
    </row>
    <row r="203" spans="6:7">
      <c r="F203"/>
      <c r="G203"/>
    </row>
    <row r="204" spans="6:7">
      <c r="F204"/>
      <c r="G204"/>
    </row>
    <row r="205" spans="6:7">
      <c r="F205"/>
      <c r="G205"/>
    </row>
    <row r="206" spans="6:7">
      <c r="F206"/>
      <c r="G206"/>
    </row>
    <row r="207" spans="6:7">
      <c r="F207"/>
      <c r="G207"/>
    </row>
    <row r="208" spans="6:7">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sheetData>
  <autoFilter ref="B10:Z73" xr:uid="{00000000-0001-0000-0100-000000000000}">
    <sortState xmlns:xlrd2="http://schemas.microsoft.com/office/spreadsheetml/2017/richdata2" ref="B12:Z73">
      <sortCondition ref="G10:G73"/>
    </sortState>
  </autoFilter>
  <mergeCells count="20">
    <mergeCell ref="Z9:Z10"/>
    <mergeCell ref="O9:O10"/>
    <mergeCell ref="P9:Q9"/>
    <mergeCell ref="R9:U9"/>
    <mergeCell ref="W9:W10"/>
    <mergeCell ref="X9:X10"/>
    <mergeCell ref="Y9:Y10"/>
    <mergeCell ref="V9:V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9176-C704-4D78-8751-1DF351FE1245}">
  <sheetPr>
    <tabColor rgb="FF00B050"/>
  </sheetPr>
  <dimension ref="B2:Z29"/>
  <sheetViews>
    <sheetView showGridLines="0" zoomScale="70" zoomScaleNormal="70" workbookViewId="0">
      <pane xSplit="7" ySplit="10" topLeftCell="V11" activePane="bottomRight" state="frozen"/>
      <selection pane="bottomRight" activeCell="E19" sqref="E19"/>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6.140625" customWidth="1"/>
    <col min="19" max="19" width="9.7109375" customWidth="1"/>
    <col min="20" max="20" width="17.7109375" bestFit="1" customWidth="1"/>
    <col min="21" max="21" width="18.85546875" bestFit="1" customWidth="1"/>
    <col min="22" max="22" width="17.7109375" bestFit="1" customWidth="1"/>
    <col min="23" max="23" width="23.28515625" bestFit="1" customWidth="1"/>
    <col min="24" max="24" width="19.85546875" customWidth="1"/>
    <col min="25" max="25" width="21" customWidth="1"/>
  </cols>
  <sheetData>
    <row r="2" spans="2:26" ht="18">
      <c r="B2" s="8" t="s">
        <v>0</v>
      </c>
    </row>
    <row r="3" spans="2:26">
      <c r="B3" s="7" t="s">
        <v>1</v>
      </c>
      <c r="D3" s="9" t="s">
        <v>2</v>
      </c>
      <c r="E3" s="6"/>
    </row>
    <row r="4" spans="2:26">
      <c r="B4" s="7" t="s">
        <v>3</v>
      </c>
      <c r="D4" s="10" t="s">
        <v>635</v>
      </c>
      <c r="E4" s="5"/>
    </row>
    <row r="5" spans="2:26">
      <c r="B5" s="7" t="s">
        <v>5</v>
      </c>
      <c r="D5" s="10" t="s">
        <v>6</v>
      </c>
      <c r="E5" s="5"/>
    </row>
    <row r="7" spans="2:26">
      <c r="W7" s="19"/>
    </row>
    <row r="8" spans="2:26">
      <c r="G8"/>
      <c r="H8"/>
      <c r="I8"/>
      <c r="J8"/>
      <c r="L8"/>
      <c r="N8"/>
    </row>
    <row r="9" spans="2:26"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636</v>
      </c>
      <c r="W9" s="37" t="s">
        <v>24</v>
      </c>
      <c r="X9" s="37" t="s">
        <v>25</v>
      </c>
      <c r="Y9" s="37" t="s">
        <v>26</v>
      </c>
    </row>
    <row r="10" spans="2:26"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row>
    <row r="11" spans="2:26" s="14" customFormat="1">
      <c r="B11" s="11">
        <v>1</v>
      </c>
      <c r="C11" s="12" t="s">
        <v>637</v>
      </c>
      <c r="D11" s="12" t="s">
        <v>638</v>
      </c>
      <c r="E11" s="12" t="s">
        <v>639</v>
      </c>
      <c r="F11" s="12" t="s">
        <v>640</v>
      </c>
      <c r="G11" s="11">
        <v>2023</v>
      </c>
      <c r="H11" s="16">
        <v>45291</v>
      </c>
      <c r="I11" s="16">
        <v>45657</v>
      </c>
      <c r="J11" s="11">
        <v>2975</v>
      </c>
      <c r="K11" s="12" t="s">
        <v>205</v>
      </c>
      <c r="L11" s="16">
        <v>45526</v>
      </c>
      <c r="M11" s="12" t="s">
        <v>87</v>
      </c>
      <c r="N11" s="11" t="s">
        <v>41</v>
      </c>
      <c r="O11" s="25">
        <v>17060000</v>
      </c>
      <c r="P11" s="2">
        <v>10</v>
      </c>
      <c r="Q11" s="25">
        <v>1706000</v>
      </c>
      <c r="R11" s="25">
        <v>853000</v>
      </c>
      <c r="S11" s="25">
        <v>0</v>
      </c>
      <c r="T11" s="25">
        <v>853000</v>
      </c>
      <c r="U11" s="25">
        <v>0</v>
      </c>
      <c r="V11" s="18">
        <v>648280</v>
      </c>
      <c r="W11" s="13">
        <v>0</v>
      </c>
      <c r="X11" s="13">
        <f>W11*76%</f>
        <v>0</v>
      </c>
      <c r="Y11" s="13"/>
      <c r="Z11" s="27"/>
    </row>
    <row r="13" spans="2:26">
      <c r="V13" s="17">
        <f>SUBTOTAL(9,V11:V11)</f>
        <v>648280</v>
      </c>
      <c r="W13" s="19"/>
    </row>
    <row r="14" spans="2:26">
      <c r="V14" s="19"/>
    </row>
    <row r="23" spans="12:14">
      <c r="L23"/>
      <c r="N23"/>
    </row>
    <row r="24" spans="12:14">
      <c r="L24"/>
      <c r="N24"/>
    </row>
    <row r="25" spans="12:14">
      <c r="L25"/>
      <c r="N25"/>
    </row>
    <row r="26" spans="12:14">
      <c r="L26"/>
      <c r="N26"/>
    </row>
    <row r="27" spans="12:14">
      <c r="L27"/>
      <c r="N27"/>
    </row>
    <row r="28" spans="12:14">
      <c r="L28"/>
      <c r="N28"/>
    </row>
    <row r="29" spans="12:14">
      <c r="L29"/>
      <c r="N29"/>
    </row>
  </sheetData>
  <autoFilter ref="B10:Y11" xr:uid="{00000000-0001-0000-0100-000000000000}"/>
  <mergeCells count="19">
    <mergeCell ref="Y9:Y10"/>
    <mergeCell ref="O9:O10"/>
    <mergeCell ref="P9:Q9"/>
    <mergeCell ref="R9:U9"/>
    <mergeCell ref="V9:V10"/>
    <mergeCell ref="W9:W10"/>
    <mergeCell ref="X9:X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DCEAC-59ED-4E56-A7BA-6A9051D14FD2}">
  <sheetPr>
    <tabColor rgb="FF00B050"/>
  </sheetPr>
  <dimension ref="B2:AB58"/>
  <sheetViews>
    <sheetView showGridLines="0" zoomScale="70" zoomScaleNormal="70" workbookViewId="0">
      <pane xSplit="7" ySplit="10" topLeftCell="N11" activePane="bottomRight" state="frozen"/>
      <selection pane="bottomRight" activeCell="F44" sqref="F44"/>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20" width="15.28515625" customWidth="1"/>
    <col min="21" max="21" width="18.85546875" customWidth="1"/>
    <col min="22" max="23" width="17.7109375" bestFit="1" customWidth="1"/>
    <col min="24" max="24" width="23.28515625" bestFit="1" customWidth="1"/>
    <col min="25" max="25" width="19.85546875" customWidth="1"/>
    <col min="26" max="26" width="21" customWidth="1"/>
    <col min="27" max="27" width="15.7109375" bestFit="1" customWidth="1"/>
  </cols>
  <sheetData>
    <row r="2" spans="2:28" ht="18">
      <c r="B2" s="8" t="s">
        <v>0</v>
      </c>
    </row>
    <row r="3" spans="2:28">
      <c r="B3" s="7" t="s">
        <v>1</v>
      </c>
      <c r="D3" s="9" t="s">
        <v>2</v>
      </c>
      <c r="E3" s="6"/>
    </row>
    <row r="4" spans="2:28">
      <c r="B4" s="7" t="s">
        <v>3</v>
      </c>
      <c r="D4" s="10" t="s">
        <v>641</v>
      </c>
      <c r="E4" s="5"/>
    </row>
    <row r="5" spans="2:28">
      <c r="B5" s="7" t="s">
        <v>5</v>
      </c>
      <c r="D5" s="10" t="s">
        <v>6</v>
      </c>
      <c r="E5" s="5"/>
    </row>
    <row r="7" spans="2:28">
      <c r="X7" s="19"/>
    </row>
    <row r="8" spans="2:28">
      <c r="G8"/>
      <c r="H8"/>
      <c r="I8"/>
      <c r="J8"/>
      <c r="L8"/>
      <c r="N8"/>
    </row>
    <row r="9" spans="2:28"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22</v>
      </c>
      <c r="W9" s="37" t="s">
        <v>23</v>
      </c>
      <c r="X9" s="37" t="s">
        <v>24</v>
      </c>
      <c r="Y9" s="37" t="s">
        <v>25</v>
      </c>
      <c r="Z9" s="37" t="s">
        <v>26</v>
      </c>
    </row>
    <row r="10" spans="2:28"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c r="Z10" s="37"/>
    </row>
    <row r="11" spans="2:28" s="14" customFormat="1">
      <c r="B11" s="11">
        <v>1</v>
      </c>
      <c r="C11" s="12" t="s">
        <v>642</v>
      </c>
      <c r="D11" s="12" t="s">
        <v>643</v>
      </c>
      <c r="E11" s="12" t="s">
        <v>644</v>
      </c>
      <c r="F11" s="12" t="s">
        <v>645</v>
      </c>
      <c r="G11" s="11">
        <v>2023</v>
      </c>
      <c r="H11" s="16">
        <v>44968</v>
      </c>
      <c r="I11" s="16">
        <v>44996</v>
      </c>
      <c r="J11" s="11" t="s">
        <v>464</v>
      </c>
      <c r="K11" s="12" t="s">
        <v>464</v>
      </c>
      <c r="L11" s="16">
        <v>44978</v>
      </c>
      <c r="M11" s="12" t="s">
        <v>40</v>
      </c>
      <c r="N11" s="11" t="s">
        <v>41</v>
      </c>
      <c r="O11" s="25">
        <v>77450000</v>
      </c>
      <c r="P11" s="2">
        <v>100</v>
      </c>
      <c r="Q11" s="25">
        <v>77450000</v>
      </c>
      <c r="R11" s="25">
        <v>52457995.968440101</v>
      </c>
      <c r="S11" s="25">
        <v>9257294</v>
      </c>
      <c r="T11" s="25">
        <v>0</v>
      </c>
      <c r="U11" s="25">
        <v>15734710.031559899</v>
      </c>
      <c r="V11" s="18">
        <v>7035543</v>
      </c>
      <c r="W11" s="18">
        <v>0</v>
      </c>
      <c r="X11" s="13">
        <v>2411896914</v>
      </c>
      <c r="Y11" s="13">
        <f>X11*76%</f>
        <v>1833041654.6400001</v>
      </c>
      <c r="Z11" s="13"/>
      <c r="AA11" s="31"/>
      <c r="AB11" s="30"/>
    </row>
    <row r="12" spans="2:28" s="14" customFormat="1">
      <c r="B12" s="11">
        <v>2</v>
      </c>
      <c r="C12" s="12" t="s">
        <v>646</v>
      </c>
      <c r="D12" s="12" t="s">
        <v>647</v>
      </c>
      <c r="E12" s="12" t="s">
        <v>648</v>
      </c>
      <c r="F12" s="12" t="s">
        <v>645</v>
      </c>
      <c r="G12" s="11">
        <v>2023</v>
      </c>
      <c r="H12" s="16">
        <v>45164</v>
      </c>
      <c r="I12" s="16">
        <v>45195</v>
      </c>
      <c r="J12" s="11" t="s">
        <v>464</v>
      </c>
      <c r="K12" s="12" t="s">
        <v>464</v>
      </c>
      <c r="L12" s="16">
        <v>45176</v>
      </c>
      <c r="M12" s="12" t="s">
        <v>87</v>
      </c>
      <c r="N12" s="11" t="s">
        <v>41</v>
      </c>
      <c r="O12" s="25">
        <v>118753128</v>
      </c>
      <c r="P12" s="2">
        <v>12.5</v>
      </c>
      <c r="Q12" s="25">
        <v>14844141</v>
      </c>
      <c r="R12" s="25">
        <v>12617519.85</v>
      </c>
      <c r="S12" s="25">
        <v>2226620</v>
      </c>
      <c r="T12" s="25">
        <v>0</v>
      </c>
      <c r="U12" s="25">
        <v>1.150000000372529</v>
      </c>
      <c r="V12" s="18">
        <v>1692232</v>
      </c>
      <c r="W12" s="18">
        <v>0</v>
      </c>
      <c r="X12" s="13">
        <v>0</v>
      </c>
      <c r="Y12" s="13">
        <f t="shared" ref="Y12:Y30" si="0">X12*76%</f>
        <v>0</v>
      </c>
      <c r="Z12" s="13"/>
      <c r="AA12" s="31"/>
      <c r="AB12" s="30"/>
    </row>
    <row r="13" spans="2:28" s="14" customFormat="1">
      <c r="B13" s="11">
        <v>3</v>
      </c>
      <c r="C13" s="12" t="s">
        <v>649</v>
      </c>
      <c r="D13" s="12" t="s">
        <v>650</v>
      </c>
      <c r="E13" s="12" t="s">
        <v>651</v>
      </c>
      <c r="F13" s="12" t="s">
        <v>645</v>
      </c>
      <c r="G13" s="11">
        <v>2024</v>
      </c>
      <c r="H13" s="16">
        <v>45561</v>
      </c>
      <c r="I13" s="16">
        <v>45622</v>
      </c>
      <c r="J13" s="11" t="s">
        <v>464</v>
      </c>
      <c r="K13" s="12" t="s">
        <v>464</v>
      </c>
      <c r="L13" s="16">
        <v>45563</v>
      </c>
      <c r="M13" s="12" t="s">
        <v>40</v>
      </c>
      <c r="N13" s="11" t="s">
        <v>41</v>
      </c>
      <c r="O13" s="25">
        <v>157744560</v>
      </c>
      <c r="P13" s="2">
        <v>100</v>
      </c>
      <c r="Q13" s="25">
        <v>157744560</v>
      </c>
      <c r="R13" s="25">
        <v>134082876</v>
      </c>
      <c r="S13" s="25">
        <v>23661684</v>
      </c>
      <c r="T13" s="25">
        <v>0</v>
      </c>
      <c r="U13" s="25">
        <v>0</v>
      </c>
      <c r="V13" s="18">
        <v>21532132</v>
      </c>
      <c r="W13" s="18">
        <v>0</v>
      </c>
      <c r="X13" s="13">
        <v>0</v>
      </c>
      <c r="Y13" s="13">
        <f>X13*91%</f>
        <v>0</v>
      </c>
      <c r="Z13" s="13"/>
      <c r="AA13" s="31"/>
      <c r="AB13" s="30"/>
    </row>
    <row r="14" spans="2:28" s="14" customFormat="1">
      <c r="B14" s="11">
        <v>4</v>
      </c>
      <c r="C14" s="12" t="s">
        <v>652</v>
      </c>
      <c r="D14" s="12" t="s">
        <v>653</v>
      </c>
      <c r="E14" s="12" t="s">
        <v>654</v>
      </c>
      <c r="F14" s="12" t="s">
        <v>645</v>
      </c>
      <c r="G14" s="11">
        <v>2024</v>
      </c>
      <c r="H14" s="16">
        <v>45428</v>
      </c>
      <c r="I14" s="16">
        <v>45488</v>
      </c>
      <c r="J14" s="11" t="s">
        <v>464</v>
      </c>
      <c r="K14" s="12" t="s">
        <v>464</v>
      </c>
      <c r="L14" s="16">
        <v>45453</v>
      </c>
      <c r="M14" s="12" t="s">
        <v>87</v>
      </c>
      <c r="N14" s="11" t="s">
        <v>41</v>
      </c>
      <c r="O14" s="25">
        <v>12530087</v>
      </c>
      <c r="P14" s="2">
        <v>15</v>
      </c>
      <c r="Q14" s="25">
        <v>1879513.05</v>
      </c>
      <c r="R14" s="25">
        <v>852045.91594686697</v>
      </c>
      <c r="S14" s="25">
        <v>150361</v>
      </c>
      <c r="T14" s="25">
        <v>0</v>
      </c>
      <c r="U14" s="25">
        <v>877106.13405313308</v>
      </c>
      <c r="V14" s="18">
        <v>136829</v>
      </c>
      <c r="W14" s="18">
        <v>0</v>
      </c>
      <c r="X14" s="13">
        <v>0</v>
      </c>
      <c r="Y14" s="13">
        <f t="shared" ref="Y14:Y15" si="1">X14*91%</f>
        <v>0</v>
      </c>
      <c r="Z14" s="13"/>
      <c r="AA14" s="31"/>
      <c r="AB14" s="30"/>
    </row>
    <row r="15" spans="2:28" s="14" customFormat="1">
      <c r="B15" s="11">
        <v>5</v>
      </c>
      <c r="C15" s="12" t="s">
        <v>655</v>
      </c>
      <c r="D15" s="12" t="s">
        <v>656</v>
      </c>
      <c r="E15" s="12" t="s">
        <v>657</v>
      </c>
      <c r="F15" s="12" t="s">
        <v>645</v>
      </c>
      <c r="G15" s="11">
        <v>2024</v>
      </c>
      <c r="H15" s="16">
        <v>45568</v>
      </c>
      <c r="I15" s="16">
        <v>45657</v>
      </c>
      <c r="J15" s="11" t="s">
        <v>464</v>
      </c>
      <c r="K15" s="12" t="s">
        <v>464</v>
      </c>
      <c r="L15" s="16">
        <v>45617</v>
      </c>
      <c r="M15" s="12" t="s">
        <v>87</v>
      </c>
      <c r="N15" s="11" t="s">
        <v>41</v>
      </c>
      <c r="O15" s="25">
        <v>57284249.849999994</v>
      </c>
      <c r="P15" s="2">
        <v>15</v>
      </c>
      <c r="Q15" s="25">
        <v>8592637.4774999991</v>
      </c>
      <c r="R15" s="25">
        <v>7303741.8558750004</v>
      </c>
      <c r="S15" s="25">
        <v>1288896</v>
      </c>
      <c r="T15" s="25">
        <v>0</v>
      </c>
      <c r="U15" s="25">
        <v>-0.37837500125169754</v>
      </c>
      <c r="V15" s="18">
        <v>1172895</v>
      </c>
      <c r="W15" s="18">
        <v>0</v>
      </c>
      <c r="X15" s="13">
        <v>0</v>
      </c>
      <c r="Y15" s="13">
        <f t="shared" si="1"/>
        <v>0</v>
      </c>
      <c r="Z15" s="13"/>
      <c r="AA15" s="31"/>
      <c r="AB15" s="30"/>
    </row>
    <row r="16" spans="2:28" s="14" customFormat="1">
      <c r="B16" s="11">
        <v>6</v>
      </c>
      <c r="C16" s="12" t="s">
        <v>658</v>
      </c>
      <c r="D16" s="12" t="s">
        <v>659</v>
      </c>
      <c r="E16" s="12" t="s">
        <v>660</v>
      </c>
      <c r="F16" s="12" t="s">
        <v>645</v>
      </c>
      <c r="G16" s="11">
        <v>2025</v>
      </c>
      <c r="H16" s="16">
        <v>45696</v>
      </c>
      <c r="I16" s="16">
        <v>45756</v>
      </c>
      <c r="J16" s="11" t="s">
        <v>464</v>
      </c>
      <c r="K16" s="12" t="s">
        <v>464</v>
      </c>
      <c r="L16" s="16">
        <v>45708</v>
      </c>
      <c r="M16" s="12" t="s">
        <v>40</v>
      </c>
      <c r="N16" s="11" t="s">
        <v>41</v>
      </c>
      <c r="O16" s="25">
        <v>90229080</v>
      </c>
      <c r="P16" s="2">
        <v>100</v>
      </c>
      <c r="Q16" s="25">
        <v>90229080</v>
      </c>
      <c r="R16" s="25">
        <v>76694718</v>
      </c>
      <c r="S16" s="25">
        <v>13534362</v>
      </c>
      <c r="T16" s="25">
        <v>0</v>
      </c>
      <c r="U16" s="25">
        <v>0</v>
      </c>
      <c r="V16" s="18">
        <v>13128331</v>
      </c>
      <c r="W16" s="18">
        <v>0</v>
      </c>
      <c r="X16" s="13">
        <v>0</v>
      </c>
      <c r="Y16" s="13">
        <f>X16*97%</f>
        <v>0</v>
      </c>
      <c r="Z16" s="13"/>
      <c r="AA16" s="31"/>
      <c r="AB16" s="30"/>
    </row>
    <row r="17" spans="2:28" s="14" customFormat="1">
      <c r="B17" s="11">
        <v>7</v>
      </c>
      <c r="C17" s="12" t="s">
        <v>661</v>
      </c>
      <c r="D17" s="12" t="s">
        <v>662</v>
      </c>
      <c r="E17" s="12" t="s">
        <v>663</v>
      </c>
      <c r="F17" s="12" t="s">
        <v>645</v>
      </c>
      <c r="G17" s="11">
        <v>2025</v>
      </c>
      <c r="H17" s="16">
        <v>45677</v>
      </c>
      <c r="I17" s="16">
        <v>45707</v>
      </c>
      <c r="J17" s="11" t="s">
        <v>464</v>
      </c>
      <c r="K17" s="12" t="s">
        <v>464</v>
      </c>
      <c r="L17" s="16">
        <v>45677</v>
      </c>
      <c r="M17" s="12" t="s">
        <v>40</v>
      </c>
      <c r="N17" s="11" t="s">
        <v>41</v>
      </c>
      <c r="O17" s="25">
        <v>1377536.7</v>
      </c>
      <c r="P17" s="2">
        <v>100</v>
      </c>
      <c r="Q17" s="25">
        <v>1377536.7</v>
      </c>
      <c r="R17" s="25">
        <v>731816.37187499995</v>
      </c>
      <c r="S17" s="25">
        <v>129144</v>
      </c>
      <c r="T17" s="25">
        <v>0</v>
      </c>
      <c r="U17" s="25">
        <v>516576.328125</v>
      </c>
      <c r="V17" s="18">
        <v>125270</v>
      </c>
      <c r="W17" s="18">
        <v>0</v>
      </c>
      <c r="X17" s="13">
        <v>0</v>
      </c>
      <c r="Y17" s="13">
        <f t="shared" ref="Y17:Y28" si="2">X17*97%</f>
        <v>0</v>
      </c>
      <c r="Z17" s="13"/>
      <c r="AA17" s="31"/>
      <c r="AB17" s="30"/>
    </row>
    <row r="18" spans="2:28" s="14" customFormat="1">
      <c r="B18" s="11">
        <v>8</v>
      </c>
      <c r="C18" s="12" t="s">
        <v>664</v>
      </c>
      <c r="D18" s="12" t="s">
        <v>665</v>
      </c>
      <c r="E18" s="12" t="s">
        <v>663</v>
      </c>
      <c r="F18" s="12" t="s">
        <v>645</v>
      </c>
      <c r="G18" s="11">
        <v>2025</v>
      </c>
      <c r="H18" s="16">
        <v>45723</v>
      </c>
      <c r="I18" s="16">
        <v>45753</v>
      </c>
      <c r="J18" s="11" t="s">
        <v>464</v>
      </c>
      <c r="K18" s="12" t="s">
        <v>464</v>
      </c>
      <c r="L18" s="16">
        <v>45723</v>
      </c>
      <c r="M18" s="12" t="s">
        <v>40</v>
      </c>
      <c r="N18" s="11" t="s">
        <v>41</v>
      </c>
      <c r="O18" s="25">
        <v>798922.37</v>
      </c>
      <c r="P18" s="2">
        <v>100</v>
      </c>
      <c r="Q18" s="25">
        <v>798922.37</v>
      </c>
      <c r="R18" s="25">
        <v>424427.50906249997</v>
      </c>
      <c r="S18" s="25">
        <v>74899</v>
      </c>
      <c r="T18" s="25">
        <v>0</v>
      </c>
      <c r="U18" s="25">
        <v>299595.86093750002</v>
      </c>
      <c r="V18" s="18">
        <v>72652</v>
      </c>
      <c r="W18" s="18">
        <v>0</v>
      </c>
      <c r="X18" s="13">
        <v>0</v>
      </c>
      <c r="Y18" s="13">
        <f t="shared" si="2"/>
        <v>0</v>
      </c>
      <c r="Z18" s="13"/>
      <c r="AA18" s="31"/>
      <c r="AB18" s="30"/>
    </row>
    <row r="19" spans="2:28" s="14" customFormat="1">
      <c r="B19" s="11">
        <v>9</v>
      </c>
      <c r="C19" s="12" t="s">
        <v>666</v>
      </c>
      <c r="D19" s="12" t="s">
        <v>667</v>
      </c>
      <c r="E19" s="12" t="s">
        <v>663</v>
      </c>
      <c r="F19" s="12" t="s">
        <v>645</v>
      </c>
      <c r="G19" s="11">
        <v>2025</v>
      </c>
      <c r="H19" s="16">
        <v>45756</v>
      </c>
      <c r="I19" s="16">
        <v>45786</v>
      </c>
      <c r="J19" s="11" t="s">
        <v>464</v>
      </c>
      <c r="K19" s="12" t="s">
        <v>464</v>
      </c>
      <c r="L19" s="16">
        <v>45756</v>
      </c>
      <c r="M19" s="12" t="s">
        <v>40</v>
      </c>
      <c r="N19" s="11" t="s">
        <v>41</v>
      </c>
      <c r="O19" s="25">
        <v>71368.740000000005</v>
      </c>
      <c r="P19" s="2">
        <v>100</v>
      </c>
      <c r="Q19" s="25">
        <v>71368.740000000005</v>
      </c>
      <c r="R19" s="25">
        <v>37914.643125000002</v>
      </c>
      <c r="S19" s="25">
        <v>6691</v>
      </c>
      <c r="T19" s="25">
        <v>0</v>
      </c>
      <c r="U19" s="25">
        <v>26763.096875000003</v>
      </c>
      <c r="V19" s="18">
        <v>6490</v>
      </c>
      <c r="W19" s="18">
        <v>0</v>
      </c>
      <c r="X19" s="13">
        <v>0</v>
      </c>
      <c r="Y19" s="13">
        <f t="shared" si="2"/>
        <v>0</v>
      </c>
      <c r="Z19" s="13"/>
      <c r="AA19" s="31"/>
      <c r="AB19" s="30"/>
    </row>
    <row r="20" spans="2:28" s="14" customFormat="1">
      <c r="B20" s="11">
        <v>10</v>
      </c>
      <c r="C20" s="12" t="s">
        <v>668</v>
      </c>
      <c r="D20" s="12" t="s">
        <v>667</v>
      </c>
      <c r="E20" s="12" t="s">
        <v>663</v>
      </c>
      <c r="F20" s="12" t="s">
        <v>645</v>
      </c>
      <c r="G20" s="11">
        <v>2025</v>
      </c>
      <c r="H20" s="16">
        <v>45761</v>
      </c>
      <c r="I20" s="16">
        <v>45791</v>
      </c>
      <c r="J20" s="11" t="s">
        <v>464</v>
      </c>
      <c r="K20" s="12" t="s">
        <v>464</v>
      </c>
      <c r="L20" s="16">
        <v>45761</v>
      </c>
      <c r="M20" s="12" t="s">
        <v>40</v>
      </c>
      <c r="N20" s="11" t="s">
        <v>41</v>
      </c>
      <c r="O20" s="25">
        <v>244647.19</v>
      </c>
      <c r="P20" s="2">
        <v>100</v>
      </c>
      <c r="Q20" s="25">
        <v>244647.19</v>
      </c>
      <c r="R20" s="25">
        <v>129968.8196875</v>
      </c>
      <c r="S20" s="25">
        <v>22936</v>
      </c>
      <c r="T20" s="25">
        <v>0</v>
      </c>
      <c r="U20" s="25">
        <v>91742.370312500003</v>
      </c>
      <c r="V20" s="18">
        <v>22248</v>
      </c>
      <c r="W20" s="18">
        <v>0</v>
      </c>
      <c r="X20" s="13">
        <v>0</v>
      </c>
      <c r="Y20" s="13">
        <f t="shared" si="2"/>
        <v>0</v>
      </c>
      <c r="Z20" s="13"/>
      <c r="AA20" s="31"/>
      <c r="AB20" s="30"/>
    </row>
    <row r="21" spans="2:28" s="14" customFormat="1">
      <c r="B21" s="11">
        <v>11</v>
      </c>
      <c r="C21" s="12" t="s">
        <v>669</v>
      </c>
      <c r="D21" s="12" t="s">
        <v>667</v>
      </c>
      <c r="E21" s="12" t="s">
        <v>663</v>
      </c>
      <c r="F21" s="12" t="s">
        <v>645</v>
      </c>
      <c r="G21" s="11">
        <v>2025</v>
      </c>
      <c r="H21" s="16">
        <v>45770</v>
      </c>
      <c r="I21" s="16">
        <v>45800</v>
      </c>
      <c r="J21" s="11" t="s">
        <v>464</v>
      </c>
      <c r="K21" s="12" t="s">
        <v>464</v>
      </c>
      <c r="L21" s="16">
        <v>45770</v>
      </c>
      <c r="M21" s="12" t="s">
        <v>40</v>
      </c>
      <c r="N21" s="11" t="s">
        <v>41</v>
      </c>
      <c r="O21" s="25">
        <v>346272.29</v>
      </c>
      <c r="P21" s="2">
        <v>100</v>
      </c>
      <c r="Q21" s="25">
        <v>346272.29</v>
      </c>
      <c r="R21" s="25">
        <v>183957.15406249999</v>
      </c>
      <c r="S21" s="25">
        <v>32463</v>
      </c>
      <c r="T21" s="25">
        <v>0</v>
      </c>
      <c r="U21" s="25">
        <v>129852.13593749999</v>
      </c>
      <c r="V21" s="18">
        <v>31489</v>
      </c>
      <c r="W21" s="18">
        <v>0</v>
      </c>
      <c r="X21" s="13">
        <v>0</v>
      </c>
      <c r="Y21" s="13">
        <f t="shared" si="2"/>
        <v>0</v>
      </c>
      <c r="Z21" s="13"/>
      <c r="AA21" s="31"/>
      <c r="AB21" s="30"/>
    </row>
    <row r="22" spans="2:28" s="14" customFormat="1">
      <c r="B22" s="11">
        <v>12</v>
      </c>
      <c r="C22" s="12" t="s">
        <v>670</v>
      </c>
      <c r="D22" s="12" t="s">
        <v>667</v>
      </c>
      <c r="E22" s="12" t="s">
        <v>663</v>
      </c>
      <c r="F22" s="12" t="s">
        <v>645</v>
      </c>
      <c r="G22" s="11">
        <v>2025</v>
      </c>
      <c r="H22" s="16">
        <v>45771</v>
      </c>
      <c r="I22" s="16">
        <v>45801</v>
      </c>
      <c r="J22" s="11" t="s">
        <v>464</v>
      </c>
      <c r="K22" s="12" t="s">
        <v>464</v>
      </c>
      <c r="L22" s="16">
        <v>45771</v>
      </c>
      <c r="M22" s="12" t="s">
        <v>40</v>
      </c>
      <c r="N22" s="11" t="s">
        <v>41</v>
      </c>
      <c r="O22" s="25">
        <v>166652.71</v>
      </c>
      <c r="P22" s="2">
        <v>100</v>
      </c>
      <c r="Q22" s="25">
        <v>166652.71</v>
      </c>
      <c r="R22" s="25">
        <v>88534.252187499995</v>
      </c>
      <c r="S22" s="25">
        <v>15623</v>
      </c>
      <c r="T22" s="25">
        <v>0</v>
      </c>
      <c r="U22" s="25">
        <v>62495.457812499997</v>
      </c>
      <c r="V22" s="18">
        <v>15155</v>
      </c>
      <c r="W22" s="18">
        <v>0</v>
      </c>
      <c r="X22" s="13">
        <v>0</v>
      </c>
      <c r="Y22" s="13">
        <f t="shared" si="2"/>
        <v>0</v>
      </c>
      <c r="Z22" s="13"/>
      <c r="AA22" s="31"/>
      <c r="AB22" s="30"/>
    </row>
    <row r="23" spans="2:28" s="14" customFormat="1">
      <c r="B23" s="11">
        <v>13</v>
      </c>
      <c r="C23" s="12" t="s">
        <v>671</v>
      </c>
      <c r="D23" s="12" t="s">
        <v>667</v>
      </c>
      <c r="E23" s="12" t="s">
        <v>663</v>
      </c>
      <c r="F23" s="12" t="s">
        <v>645</v>
      </c>
      <c r="G23" s="11">
        <v>2025</v>
      </c>
      <c r="H23" s="16">
        <v>45769</v>
      </c>
      <c r="I23" s="16">
        <v>45799</v>
      </c>
      <c r="J23" s="11" t="s">
        <v>464</v>
      </c>
      <c r="K23" s="12" t="s">
        <v>464</v>
      </c>
      <c r="L23" s="16">
        <v>45769</v>
      </c>
      <c r="M23" s="12" t="s">
        <v>40</v>
      </c>
      <c r="N23" s="11" t="s">
        <v>41</v>
      </c>
      <c r="O23" s="25">
        <v>707738.15</v>
      </c>
      <c r="P23" s="2">
        <v>100</v>
      </c>
      <c r="Q23" s="25">
        <v>707738.15</v>
      </c>
      <c r="R23" s="25">
        <v>375985.89218750002</v>
      </c>
      <c r="S23" s="25">
        <v>66351</v>
      </c>
      <c r="T23" s="25">
        <v>0</v>
      </c>
      <c r="U23" s="25">
        <v>265401.2578125</v>
      </c>
      <c r="V23" s="18">
        <v>64360</v>
      </c>
      <c r="W23" s="18">
        <v>0</v>
      </c>
      <c r="X23" s="13">
        <v>0</v>
      </c>
      <c r="Y23" s="13">
        <f t="shared" si="2"/>
        <v>0</v>
      </c>
      <c r="Z23" s="13"/>
      <c r="AA23" s="31"/>
      <c r="AB23" s="30"/>
    </row>
    <row r="24" spans="2:28" s="14" customFormat="1">
      <c r="B24" s="11">
        <v>14</v>
      </c>
      <c r="C24" s="12" t="s">
        <v>672</v>
      </c>
      <c r="D24" s="12" t="s">
        <v>673</v>
      </c>
      <c r="E24" s="12" t="s">
        <v>131</v>
      </c>
      <c r="F24" s="12" t="s">
        <v>645</v>
      </c>
      <c r="G24" s="11">
        <v>2025</v>
      </c>
      <c r="H24" s="16">
        <v>45791</v>
      </c>
      <c r="I24" s="16">
        <v>45852</v>
      </c>
      <c r="J24" s="11" t="s">
        <v>464</v>
      </c>
      <c r="K24" s="12" t="s">
        <v>464</v>
      </c>
      <c r="L24" s="16">
        <v>45827</v>
      </c>
      <c r="M24" s="12" t="s">
        <v>40</v>
      </c>
      <c r="N24" s="11" t="s">
        <v>41</v>
      </c>
      <c r="O24" s="25">
        <v>880000</v>
      </c>
      <c r="P24" s="2">
        <v>100</v>
      </c>
      <c r="Q24" s="25">
        <v>880000</v>
      </c>
      <c r="R24" s="25">
        <v>467500</v>
      </c>
      <c r="S24" s="25">
        <v>82500</v>
      </c>
      <c r="T24" s="25">
        <v>0</v>
      </c>
      <c r="U24" s="25">
        <v>330000</v>
      </c>
      <c r="V24" s="18">
        <v>80025</v>
      </c>
      <c r="W24" s="18">
        <v>0</v>
      </c>
      <c r="X24" s="13">
        <v>0</v>
      </c>
      <c r="Y24" s="13">
        <f t="shared" si="2"/>
        <v>0</v>
      </c>
      <c r="Z24" s="13"/>
      <c r="AA24" s="31"/>
      <c r="AB24" s="30"/>
    </row>
    <row r="25" spans="2:28" s="14" customFormat="1">
      <c r="B25" s="11">
        <v>15</v>
      </c>
      <c r="C25" s="12" t="s">
        <v>674</v>
      </c>
      <c r="D25" s="12" t="s">
        <v>673</v>
      </c>
      <c r="E25" s="12" t="s">
        <v>131</v>
      </c>
      <c r="F25" s="12" t="s">
        <v>645</v>
      </c>
      <c r="G25" s="11">
        <v>2025</v>
      </c>
      <c r="H25" s="16">
        <v>45791</v>
      </c>
      <c r="I25" s="16">
        <v>45852</v>
      </c>
      <c r="J25" s="11" t="s">
        <v>464</v>
      </c>
      <c r="K25" s="12" t="s">
        <v>464</v>
      </c>
      <c r="L25" s="16">
        <v>45798</v>
      </c>
      <c r="M25" s="12" t="s">
        <v>40</v>
      </c>
      <c r="N25" s="11" t="s">
        <v>41</v>
      </c>
      <c r="O25" s="25">
        <v>880000</v>
      </c>
      <c r="P25" s="2">
        <v>100</v>
      </c>
      <c r="Q25" s="25">
        <v>880000</v>
      </c>
      <c r="R25" s="25">
        <v>500500</v>
      </c>
      <c r="S25" s="25">
        <v>82500</v>
      </c>
      <c r="T25" s="25">
        <v>0</v>
      </c>
      <c r="U25" s="25">
        <v>297000</v>
      </c>
      <c r="V25" s="18">
        <v>80025</v>
      </c>
      <c r="W25" s="18">
        <v>0</v>
      </c>
      <c r="X25" s="13">
        <v>0</v>
      </c>
      <c r="Y25" s="13">
        <f t="shared" si="2"/>
        <v>0</v>
      </c>
      <c r="Z25" s="13"/>
      <c r="AA25" s="31"/>
      <c r="AB25" s="30"/>
    </row>
    <row r="26" spans="2:28" s="14" customFormat="1">
      <c r="B26" s="11">
        <v>16</v>
      </c>
      <c r="C26" s="12" t="s">
        <v>675</v>
      </c>
      <c r="D26" s="12" t="s">
        <v>676</v>
      </c>
      <c r="E26" s="12" t="s">
        <v>663</v>
      </c>
      <c r="F26" s="12" t="s">
        <v>645</v>
      </c>
      <c r="G26" s="11">
        <v>2025</v>
      </c>
      <c r="H26" s="16">
        <v>45803</v>
      </c>
      <c r="I26" s="16">
        <v>45833</v>
      </c>
      <c r="J26" s="11" t="s">
        <v>464</v>
      </c>
      <c r="K26" s="12" t="s">
        <v>464</v>
      </c>
      <c r="L26" s="16">
        <v>45803</v>
      </c>
      <c r="M26" s="12" t="s">
        <v>40</v>
      </c>
      <c r="N26" s="11" t="s">
        <v>41</v>
      </c>
      <c r="O26" s="25">
        <v>4861107.9000000004</v>
      </c>
      <c r="P26" s="2">
        <v>100</v>
      </c>
      <c r="Q26" s="25">
        <v>4861107.9000000004</v>
      </c>
      <c r="R26" s="25">
        <v>2582463.5718749999</v>
      </c>
      <c r="S26" s="25">
        <v>455729</v>
      </c>
      <c r="T26" s="25">
        <v>0</v>
      </c>
      <c r="U26" s="25">
        <v>1822915.3281250005</v>
      </c>
      <c r="V26" s="18">
        <v>442057</v>
      </c>
      <c r="W26" s="18">
        <v>0</v>
      </c>
      <c r="X26" s="13">
        <v>0</v>
      </c>
      <c r="Y26" s="13">
        <f t="shared" si="2"/>
        <v>0</v>
      </c>
      <c r="Z26" s="13"/>
      <c r="AA26" s="31"/>
      <c r="AB26" s="30"/>
    </row>
    <row r="27" spans="2:28">
      <c r="B27" s="11">
        <v>17</v>
      </c>
      <c r="C27" s="1" t="s">
        <v>677</v>
      </c>
      <c r="D27" s="1" t="s">
        <v>676</v>
      </c>
      <c r="E27" s="1" t="s">
        <v>663</v>
      </c>
      <c r="F27" s="12" t="s">
        <v>645</v>
      </c>
      <c r="G27" s="11">
        <v>2025</v>
      </c>
      <c r="H27" s="16">
        <v>45804</v>
      </c>
      <c r="I27" s="16">
        <v>45834</v>
      </c>
      <c r="J27" s="11" t="s">
        <v>464</v>
      </c>
      <c r="K27" s="12" t="s">
        <v>464</v>
      </c>
      <c r="L27" s="16">
        <v>45804</v>
      </c>
      <c r="M27" s="12" t="s">
        <v>40</v>
      </c>
      <c r="N27" s="11" t="s">
        <v>41</v>
      </c>
      <c r="O27" s="25">
        <v>345145.35</v>
      </c>
      <c r="P27" s="2">
        <v>100</v>
      </c>
      <c r="Q27" s="25">
        <v>345145.35</v>
      </c>
      <c r="R27" s="25">
        <v>183358.46718750001</v>
      </c>
      <c r="S27" s="25">
        <v>32358</v>
      </c>
      <c r="T27" s="25">
        <v>0</v>
      </c>
      <c r="U27" s="25">
        <v>129428.88281249997</v>
      </c>
      <c r="V27" s="13">
        <v>31387</v>
      </c>
      <c r="W27" s="18">
        <v>0</v>
      </c>
      <c r="X27" s="13">
        <v>0</v>
      </c>
      <c r="Y27" s="13">
        <f t="shared" si="2"/>
        <v>0</v>
      </c>
      <c r="Z27" s="26"/>
      <c r="AA27" s="31"/>
      <c r="AB27" s="30"/>
    </row>
    <row r="28" spans="2:28">
      <c r="B28" s="11">
        <v>18</v>
      </c>
      <c r="C28" s="1" t="s">
        <v>678</v>
      </c>
      <c r="D28" s="1" t="s">
        <v>679</v>
      </c>
      <c r="E28" s="1" t="s">
        <v>663</v>
      </c>
      <c r="F28" s="12" t="s">
        <v>645</v>
      </c>
      <c r="G28" s="11">
        <v>2025</v>
      </c>
      <c r="H28" s="16">
        <v>45812</v>
      </c>
      <c r="I28" s="16">
        <v>45842</v>
      </c>
      <c r="J28" s="11" t="s">
        <v>464</v>
      </c>
      <c r="K28" s="12" t="s">
        <v>464</v>
      </c>
      <c r="L28" s="16">
        <v>45812</v>
      </c>
      <c r="M28" s="12" t="s">
        <v>40</v>
      </c>
      <c r="N28" s="11" t="s">
        <v>41</v>
      </c>
      <c r="O28" s="25">
        <v>751758.6</v>
      </c>
      <c r="P28" s="2">
        <v>100</v>
      </c>
      <c r="Q28" s="25">
        <v>751758.6</v>
      </c>
      <c r="R28" s="25">
        <v>399371.75624999998</v>
      </c>
      <c r="S28" s="25">
        <v>70478</v>
      </c>
      <c r="T28" s="25">
        <v>0</v>
      </c>
      <c r="U28" s="25">
        <v>281908.84375</v>
      </c>
      <c r="V28" s="13">
        <v>68363</v>
      </c>
      <c r="W28" s="18">
        <v>0</v>
      </c>
      <c r="X28" s="13">
        <v>0</v>
      </c>
      <c r="Y28" s="13">
        <f t="shared" si="2"/>
        <v>0</v>
      </c>
      <c r="Z28" s="26"/>
      <c r="AA28" s="31"/>
      <c r="AB28" s="30"/>
    </row>
    <row r="29" spans="2:28">
      <c r="B29" s="11">
        <v>19</v>
      </c>
      <c r="C29" s="1" t="s">
        <v>642</v>
      </c>
      <c r="D29" s="1" t="s">
        <v>643</v>
      </c>
      <c r="E29" s="1" t="s">
        <v>644</v>
      </c>
      <c r="F29" s="12" t="s">
        <v>645</v>
      </c>
      <c r="G29" s="11">
        <v>2023</v>
      </c>
      <c r="H29" s="16">
        <v>44968</v>
      </c>
      <c r="I29" s="16">
        <v>44996</v>
      </c>
      <c r="J29" s="11" t="s">
        <v>464</v>
      </c>
      <c r="K29" s="12" t="s">
        <v>464</v>
      </c>
      <c r="L29" s="16">
        <v>44978</v>
      </c>
      <c r="M29" s="12" t="s">
        <v>40</v>
      </c>
      <c r="N29" s="11" t="s">
        <v>41</v>
      </c>
      <c r="O29" s="25">
        <v>77450000</v>
      </c>
      <c r="P29" s="2">
        <v>100</v>
      </c>
      <c r="Q29" s="25">
        <v>77450000</v>
      </c>
      <c r="R29" s="25">
        <v>52457995.968440101</v>
      </c>
      <c r="S29" s="25">
        <v>0</v>
      </c>
      <c r="T29" s="25">
        <v>15734710</v>
      </c>
      <c r="U29" s="25">
        <v>9257294.0315598994</v>
      </c>
      <c r="V29" s="13">
        <v>0</v>
      </c>
      <c r="W29" s="18">
        <v>11958380</v>
      </c>
      <c r="X29" s="13">
        <v>2411896914</v>
      </c>
      <c r="Y29" s="13">
        <f t="shared" si="0"/>
        <v>1833041654.6400001</v>
      </c>
      <c r="Z29" s="26"/>
      <c r="AA29" s="31"/>
      <c r="AB29" s="30"/>
    </row>
    <row r="30" spans="2:28">
      <c r="B30" s="11">
        <v>20</v>
      </c>
      <c r="C30" s="1" t="s">
        <v>680</v>
      </c>
      <c r="D30" s="1" t="s">
        <v>681</v>
      </c>
      <c r="E30" s="1" t="s">
        <v>682</v>
      </c>
      <c r="F30" s="12" t="s">
        <v>645</v>
      </c>
      <c r="G30" s="11">
        <v>2023</v>
      </c>
      <c r="H30" s="16">
        <v>45261</v>
      </c>
      <c r="I30" s="16">
        <v>45321</v>
      </c>
      <c r="J30" s="11" t="s">
        <v>464</v>
      </c>
      <c r="K30" s="12" t="s">
        <v>464</v>
      </c>
      <c r="L30" s="16">
        <v>45316</v>
      </c>
      <c r="M30" s="12" t="s">
        <v>87</v>
      </c>
      <c r="N30" s="11" t="s">
        <v>431</v>
      </c>
      <c r="O30" s="25">
        <v>1220.6199999999999</v>
      </c>
      <c r="P30" s="2">
        <v>12.5</v>
      </c>
      <c r="Q30" s="25">
        <v>152.57749999999999</v>
      </c>
      <c r="R30" s="25">
        <v>129.69087500000001</v>
      </c>
      <c r="S30" s="25">
        <v>22.89</v>
      </c>
      <c r="T30" s="25">
        <v>0</v>
      </c>
      <c r="U30" s="25">
        <v>-3.3750000000196678E-3</v>
      </c>
      <c r="V30" s="18">
        <v>17.39</v>
      </c>
      <c r="W30" s="18">
        <v>0</v>
      </c>
      <c r="X30" s="13">
        <v>0</v>
      </c>
      <c r="Y30" s="13">
        <f t="shared" si="0"/>
        <v>0</v>
      </c>
      <c r="Z30" s="26"/>
      <c r="AA30" s="31"/>
      <c r="AB30" s="30"/>
    </row>
    <row r="31" spans="2:28">
      <c r="B31" s="11">
        <v>21</v>
      </c>
      <c r="C31" s="1" t="s">
        <v>683</v>
      </c>
      <c r="D31" s="1" t="s">
        <v>684</v>
      </c>
      <c r="E31" s="1" t="s">
        <v>657</v>
      </c>
      <c r="F31" s="12" t="s">
        <v>645</v>
      </c>
      <c r="G31" s="11">
        <v>2024</v>
      </c>
      <c r="H31" s="16">
        <v>45546</v>
      </c>
      <c r="I31" s="16">
        <v>45576</v>
      </c>
      <c r="J31" s="11" t="s">
        <v>464</v>
      </c>
      <c r="K31" s="12" t="s">
        <v>464</v>
      </c>
      <c r="L31" s="16">
        <v>45546</v>
      </c>
      <c r="M31" s="12" t="s">
        <v>87</v>
      </c>
      <c r="N31" s="11" t="s">
        <v>431</v>
      </c>
      <c r="O31" s="25">
        <v>1091.93</v>
      </c>
      <c r="P31" s="2">
        <v>15</v>
      </c>
      <c r="Q31" s="25">
        <v>163.7895</v>
      </c>
      <c r="R31" s="25">
        <v>139.22107500000001</v>
      </c>
      <c r="S31" s="25">
        <v>24.57</v>
      </c>
      <c r="T31" s="25">
        <v>0</v>
      </c>
      <c r="U31" s="25">
        <v>-1.575000000009652E-3</v>
      </c>
      <c r="V31" s="13">
        <v>22.36</v>
      </c>
      <c r="W31" s="18">
        <v>0</v>
      </c>
      <c r="X31" s="13">
        <v>0</v>
      </c>
      <c r="Y31" s="13">
        <f t="shared" ref="Y31:Y39" si="3">X31*91%</f>
        <v>0</v>
      </c>
      <c r="Z31" s="26"/>
      <c r="AA31" s="31"/>
      <c r="AB31" s="30"/>
    </row>
    <row r="32" spans="2:28">
      <c r="B32" s="11">
        <v>22</v>
      </c>
      <c r="C32" s="1" t="s">
        <v>685</v>
      </c>
      <c r="D32" s="1" t="s">
        <v>684</v>
      </c>
      <c r="E32" s="1" t="s">
        <v>657</v>
      </c>
      <c r="F32" s="12" t="s">
        <v>645</v>
      </c>
      <c r="G32" s="11">
        <v>2024</v>
      </c>
      <c r="H32" s="16">
        <v>45544</v>
      </c>
      <c r="I32" s="16">
        <v>45574</v>
      </c>
      <c r="J32" s="11" t="s">
        <v>464</v>
      </c>
      <c r="K32" s="12" t="s">
        <v>464</v>
      </c>
      <c r="L32" s="16">
        <v>45544</v>
      </c>
      <c r="M32" s="12" t="s">
        <v>87</v>
      </c>
      <c r="N32" s="11" t="s">
        <v>431</v>
      </c>
      <c r="O32" s="25">
        <v>1091.93</v>
      </c>
      <c r="P32" s="2">
        <v>15</v>
      </c>
      <c r="Q32" s="25">
        <v>163.7895</v>
      </c>
      <c r="R32" s="25">
        <v>139.22107500000001</v>
      </c>
      <c r="S32" s="25">
        <v>24.57</v>
      </c>
      <c r="T32" s="25">
        <v>0</v>
      </c>
      <c r="U32" s="25">
        <v>-1.575000000009652E-3</v>
      </c>
      <c r="V32" s="13">
        <v>22.36</v>
      </c>
      <c r="W32" s="18">
        <v>0</v>
      </c>
      <c r="X32" s="13">
        <v>0</v>
      </c>
      <c r="Y32" s="13">
        <f t="shared" si="3"/>
        <v>0</v>
      </c>
      <c r="Z32" s="13"/>
      <c r="AA32" s="31"/>
      <c r="AB32" s="30"/>
    </row>
    <row r="33" spans="2:28">
      <c r="B33" s="11">
        <v>23</v>
      </c>
      <c r="C33" s="1" t="s">
        <v>686</v>
      </c>
      <c r="D33" s="1" t="s">
        <v>684</v>
      </c>
      <c r="E33" s="1" t="s">
        <v>657</v>
      </c>
      <c r="F33" s="12" t="s">
        <v>645</v>
      </c>
      <c r="G33" s="11">
        <v>2024</v>
      </c>
      <c r="H33" s="16">
        <v>45532</v>
      </c>
      <c r="I33" s="16">
        <v>45563</v>
      </c>
      <c r="J33" s="11" t="s">
        <v>464</v>
      </c>
      <c r="K33" s="12" t="s">
        <v>464</v>
      </c>
      <c r="L33" s="16">
        <v>45532</v>
      </c>
      <c r="M33" s="12" t="s">
        <v>87</v>
      </c>
      <c r="N33" s="11" t="s">
        <v>431</v>
      </c>
      <c r="O33" s="25">
        <v>1091.93</v>
      </c>
      <c r="P33" s="2">
        <v>15</v>
      </c>
      <c r="Q33" s="25">
        <v>163.7895</v>
      </c>
      <c r="R33" s="25">
        <v>139.22107500000001</v>
      </c>
      <c r="S33" s="25">
        <v>24.57</v>
      </c>
      <c r="T33" s="25">
        <v>0</v>
      </c>
      <c r="U33" s="25">
        <v>-1.575000000009652E-3</v>
      </c>
      <c r="V33" s="18">
        <v>22.36</v>
      </c>
      <c r="W33" s="18">
        <v>0</v>
      </c>
      <c r="X33" s="13">
        <v>0</v>
      </c>
      <c r="Y33" s="13">
        <f t="shared" si="3"/>
        <v>0</v>
      </c>
      <c r="Z33" s="13"/>
      <c r="AA33" s="31"/>
      <c r="AB33" s="30"/>
    </row>
    <row r="34" spans="2:28">
      <c r="B34" s="11">
        <v>24</v>
      </c>
      <c r="C34" s="1" t="s">
        <v>687</v>
      </c>
      <c r="D34" s="1" t="s">
        <v>684</v>
      </c>
      <c r="E34" s="1" t="s">
        <v>657</v>
      </c>
      <c r="F34" s="12" t="s">
        <v>645</v>
      </c>
      <c r="G34" s="11">
        <v>2024</v>
      </c>
      <c r="H34" s="16">
        <v>45532</v>
      </c>
      <c r="I34" s="16">
        <v>45563</v>
      </c>
      <c r="J34" s="11" t="s">
        <v>464</v>
      </c>
      <c r="K34" s="12" t="s">
        <v>464</v>
      </c>
      <c r="L34" s="16">
        <v>45532</v>
      </c>
      <c r="M34" s="12" t="s">
        <v>87</v>
      </c>
      <c r="N34" s="11" t="s">
        <v>431</v>
      </c>
      <c r="O34" s="25">
        <v>1091.93</v>
      </c>
      <c r="P34" s="2">
        <v>15</v>
      </c>
      <c r="Q34" s="25">
        <v>163.7895</v>
      </c>
      <c r="R34" s="25">
        <v>139.22107500000001</v>
      </c>
      <c r="S34" s="25">
        <v>24.57</v>
      </c>
      <c r="T34" s="25">
        <v>0</v>
      </c>
      <c r="U34" s="25">
        <v>-1.575000000009652E-3</v>
      </c>
      <c r="V34" s="18">
        <v>22.36</v>
      </c>
      <c r="W34" s="18">
        <v>0</v>
      </c>
      <c r="X34" s="13">
        <v>0</v>
      </c>
      <c r="Y34" s="13">
        <f t="shared" si="3"/>
        <v>0</v>
      </c>
      <c r="Z34" s="13"/>
      <c r="AA34" s="31"/>
      <c r="AB34" s="30"/>
    </row>
    <row r="35" spans="2:28">
      <c r="B35" s="11">
        <v>25</v>
      </c>
      <c r="C35" s="1" t="s">
        <v>688</v>
      </c>
      <c r="D35" s="1" t="s">
        <v>684</v>
      </c>
      <c r="E35" s="1" t="s">
        <v>657</v>
      </c>
      <c r="F35" s="12" t="s">
        <v>645</v>
      </c>
      <c r="G35" s="11">
        <v>2024</v>
      </c>
      <c r="H35" s="16">
        <v>45531</v>
      </c>
      <c r="I35" s="16">
        <v>45562</v>
      </c>
      <c r="J35" s="11" t="s">
        <v>464</v>
      </c>
      <c r="K35" s="12" t="s">
        <v>464</v>
      </c>
      <c r="L35" s="16">
        <v>45544</v>
      </c>
      <c r="M35" s="12" t="s">
        <v>87</v>
      </c>
      <c r="N35" s="11" t="s">
        <v>431</v>
      </c>
      <c r="O35" s="25">
        <v>4367.72</v>
      </c>
      <c r="P35" s="2">
        <v>15</v>
      </c>
      <c r="Q35" s="25">
        <v>655.15800000000002</v>
      </c>
      <c r="R35" s="25">
        <v>556.88430000000005</v>
      </c>
      <c r="S35" s="25">
        <v>24.57</v>
      </c>
      <c r="T35" s="25">
        <v>0</v>
      </c>
      <c r="U35" s="25">
        <v>73.703699999999969</v>
      </c>
      <c r="V35" s="18">
        <v>22.36</v>
      </c>
      <c r="W35" s="18">
        <v>0</v>
      </c>
      <c r="X35" s="13">
        <v>0</v>
      </c>
      <c r="Y35" s="13">
        <f t="shared" si="3"/>
        <v>0</v>
      </c>
      <c r="Z35" s="13"/>
      <c r="AA35" s="31"/>
      <c r="AB35" s="30"/>
    </row>
    <row r="36" spans="2:28">
      <c r="B36" s="11">
        <v>26</v>
      </c>
      <c r="C36" s="1" t="s">
        <v>689</v>
      </c>
      <c r="D36" s="1" t="s">
        <v>684</v>
      </c>
      <c r="E36" s="1" t="s">
        <v>657</v>
      </c>
      <c r="F36" s="12" t="s">
        <v>645</v>
      </c>
      <c r="G36" s="11">
        <v>2024</v>
      </c>
      <c r="H36" s="16">
        <v>45544</v>
      </c>
      <c r="I36" s="16">
        <v>45574</v>
      </c>
      <c r="J36" s="11" t="s">
        <v>464</v>
      </c>
      <c r="K36" s="12" t="s">
        <v>464</v>
      </c>
      <c r="L36" s="16">
        <v>45544</v>
      </c>
      <c r="M36" s="12" t="s">
        <v>87</v>
      </c>
      <c r="N36" s="11" t="s">
        <v>431</v>
      </c>
      <c r="O36" s="25">
        <v>1091.93</v>
      </c>
      <c r="P36" s="2">
        <v>15</v>
      </c>
      <c r="Q36" s="25">
        <v>163.7895</v>
      </c>
      <c r="R36" s="25">
        <v>139.22107500000001</v>
      </c>
      <c r="S36" s="25">
        <v>24.57</v>
      </c>
      <c r="T36" s="25">
        <v>0</v>
      </c>
      <c r="U36" s="25">
        <v>-1.575000000009652E-3</v>
      </c>
      <c r="V36" s="13">
        <v>22.36</v>
      </c>
      <c r="W36" s="18">
        <v>0</v>
      </c>
      <c r="X36" s="13">
        <v>0</v>
      </c>
      <c r="Y36" s="13">
        <f t="shared" si="3"/>
        <v>0</v>
      </c>
      <c r="Z36" s="13"/>
      <c r="AA36" s="31"/>
      <c r="AB36" s="30"/>
    </row>
    <row r="37" spans="2:28">
      <c r="B37" s="11">
        <v>27</v>
      </c>
      <c r="C37" s="1" t="s">
        <v>690</v>
      </c>
      <c r="D37" s="1" t="s">
        <v>684</v>
      </c>
      <c r="E37" s="1" t="s">
        <v>657</v>
      </c>
      <c r="F37" s="12" t="s">
        <v>645</v>
      </c>
      <c r="G37" s="11">
        <v>2024</v>
      </c>
      <c r="H37" s="16">
        <v>45531</v>
      </c>
      <c r="I37" s="16">
        <v>45562</v>
      </c>
      <c r="J37" s="11" t="s">
        <v>464</v>
      </c>
      <c r="K37" s="12" t="s">
        <v>464</v>
      </c>
      <c r="L37" s="16">
        <v>45531</v>
      </c>
      <c r="M37" s="12" t="s">
        <v>87</v>
      </c>
      <c r="N37" s="11" t="s">
        <v>431</v>
      </c>
      <c r="O37" s="25">
        <v>4367.72</v>
      </c>
      <c r="P37" s="2">
        <v>15</v>
      </c>
      <c r="Q37" s="25">
        <v>655.15800000000002</v>
      </c>
      <c r="R37" s="25">
        <v>556.88430000000005</v>
      </c>
      <c r="S37" s="25">
        <v>24.57</v>
      </c>
      <c r="T37" s="25">
        <v>0</v>
      </c>
      <c r="U37" s="25">
        <v>73.703699999999969</v>
      </c>
      <c r="V37" s="18">
        <v>22.36</v>
      </c>
      <c r="W37" s="18">
        <v>0</v>
      </c>
      <c r="X37" s="13">
        <v>0</v>
      </c>
      <c r="Y37" s="13">
        <f t="shared" si="3"/>
        <v>0</v>
      </c>
      <c r="Z37" s="13"/>
      <c r="AA37" s="31"/>
      <c r="AB37" s="30"/>
    </row>
    <row r="38" spans="2:28">
      <c r="B38" s="11">
        <v>28</v>
      </c>
      <c r="C38" s="1" t="s">
        <v>691</v>
      </c>
      <c r="D38" s="1" t="s">
        <v>684</v>
      </c>
      <c r="E38" s="1" t="s">
        <v>657</v>
      </c>
      <c r="F38" s="12" t="s">
        <v>645</v>
      </c>
      <c r="G38" s="11">
        <v>2024</v>
      </c>
      <c r="H38" s="16">
        <v>45531</v>
      </c>
      <c r="I38" s="16">
        <v>45562</v>
      </c>
      <c r="J38" s="11" t="s">
        <v>464</v>
      </c>
      <c r="K38" s="12" t="s">
        <v>464</v>
      </c>
      <c r="L38" s="16">
        <v>45532</v>
      </c>
      <c r="M38" s="12" t="s">
        <v>87</v>
      </c>
      <c r="N38" s="11" t="s">
        <v>431</v>
      </c>
      <c r="O38" s="25">
        <v>4367.72</v>
      </c>
      <c r="P38" s="2">
        <v>15</v>
      </c>
      <c r="Q38" s="25">
        <v>655.15800000000002</v>
      </c>
      <c r="R38" s="25">
        <v>556.88430000000005</v>
      </c>
      <c r="S38" s="25">
        <v>24.57</v>
      </c>
      <c r="T38" s="25">
        <v>0</v>
      </c>
      <c r="U38" s="25">
        <v>73.703699999999969</v>
      </c>
      <c r="V38" s="13">
        <v>22.36</v>
      </c>
      <c r="W38" s="18">
        <v>0</v>
      </c>
      <c r="X38" s="13">
        <v>0</v>
      </c>
      <c r="Y38" s="13">
        <f t="shared" si="3"/>
        <v>0</v>
      </c>
      <c r="Z38" s="13"/>
      <c r="AA38" s="31"/>
      <c r="AB38" s="30"/>
    </row>
    <row r="39" spans="2:28">
      <c r="B39" s="11">
        <v>29</v>
      </c>
      <c r="C39" s="1" t="s">
        <v>692</v>
      </c>
      <c r="D39" s="1" t="s">
        <v>684</v>
      </c>
      <c r="E39" s="1" t="s">
        <v>657</v>
      </c>
      <c r="F39" s="12" t="s">
        <v>645</v>
      </c>
      <c r="G39" s="11">
        <v>2024</v>
      </c>
      <c r="H39" s="16">
        <v>45531</v>
      </c>
      <c r="I39" s="16">
        <v>45562</v>
      </c>
      <c r="J39" s="11" t="s">
        <v>464</v>
      </c>
      <c r="K39" s="12" t="s">
        <v>464</v>
      </c>
      <c r="L39" s="16">
        <v>45534</v>
      </c>
      <c r="M39" s="12" t="s">
        <v>87</v>
      </c>
      <c r="N39" s="11" t="s">
        <v>431</v>
      </c>
      <c r="O39" s="25">
        <v>4367.72</v>
      </c>
      <c r="P39" s="2">
        <v>15</v>
      </c>
      <c r="Q39" s="25">
        <v>655.15800000000002</v>
      </c>
      <c r="R39" s="25">
        <v>556.88430000000005</v>
      </c>
      <c r="S39" s="25">
        <v>24.57</v>
      </c>
      <c r="T39" s="25">
        <v>0</v>
      </c>
      <c r="U39" s="25">
        <v>73.703699999999969</v>
      </c>
      <c r="V39" s="13">
        <v>22.36</v>
      </c>
      <c r="W39" s="18">
        <v>0</v>
      </c>
      <c r="X39" s="13">
        <v>0</v>
      </c>
      <c r="Y39" s="13">
        <f t="shared" si="3"/>
        <v>0</v>
      </c>
      <c r="Z39" s="12"/>
      <c r="AA39" s="31"/>
      <c r="AB39" s="30"/>
    </row>
    <row r="40" spans="2:28">
      <c r="B40" s="11">
        <v>30</v>
      </c>
      <c r="C40" s="1" t="s">
        <v>693</v>
      </c>
      <c r="D40" s="1" t="s">
        <v>694</v>
      </c>
      <c r="E40" s="1" t="s">
        <v>695</v>
      </c>
      <c r="F40" s="12" t="s">
        <v>645</v>
      </c>
      <c r="G40" s="11">
        <v>2025</v>
      </c>
      <c r="H40" s="16">
        <v>45735</v>
      </c>
      <c r="I40" s="16">
        <v>45766</v>
      </c>
      <c r="J40" s="11" t="s">
        <v>464</v>
      </c>
      <c r="K40" s="12" t="s">
        <v>464</v>
      </c>
      <c r="L40" s="16">
        <v>45742</v>
      </c>
      <c r="M40" s="12" t="s">
        <v>87</v>
      </c>
      <c r="N40" s="11" t="s">
        <v>431</v>
      </c>
      <c r="O40" s="25">
        <v>5634.8</v>
      </c>
      <c r="P40" s="2">
        <v>15</v>
      </c>
      <c r="Q40" s="25">
        <v>845.22</v>
      </c>
      <c r="R40" s="25">
        <v>718.43700000000001</v>
      </c>
      <c r="S40" s="25">
        <v>126.79</v>
      </c>
      <c r="T40" s="25">
        <v>0</v>
      </c>
      <c r="U40" s="25">
        <v>-6.9999999999907914E-3</v>
      </c>
      <c r="V40" s="13">
        <v>122.98</v>
      </c>
      <c r="W40" s="18">
        <v>0</v>
      </c>
      <c r="X40" s="13">
        <v>0</v>
      </c>
      <c r="Y40" s="13">
        <f>X40*97%</f>
        <v>0</v>
      </c>
      <c r="Z40" s="13"/>
      <c r="AA40" s="31"/>
      <c r="AB40" s="30"/>
    </row>
    <row r="41" spans="2:28">
      <c r="B41" s="20"/>
      <c r="F41" s="14"/>
      <c r="O41" s="21"/>
      <c r="Q41" s="22"/>
      <c r="R41" s="22"/>
      <c r="S41" s="22"/>
      <c r="T41" s="22"/>
      <c r="U41" s="23"/>
      <c r="V41" s="24"/>
      <c r="W41" s="24"/>
    </row>
    <row r="42" spans="2:28">
      <c r="V42" s="17">
        <f>SUBTOTAL(9,V11:V40)</f>
        <v>122.98</v>
      </c>
      <c r="W42" s="17">
        <f>SUBTOTAL(9,W11:W40)</f>
        <v>0</v>
      </c>
      <c r="X42" s="19"/>
    </row>
    <row r="43" spans="2:28">
      <c r="V43" s="19"/>
      <c r="W43" s="19"/>
    </row>
    <row r="52" spans="12:14">
      <c r="L52"/>
      <c r="N52"/>
    </row>
    <row r="53" spans="12:14">
      <c r="L53"/>
      <c r="N53"/>
    </row>
    <row r="54" spans="12:14">
      <c r="L54"/>
      <c r="N54"/>
    </row>
    <row r="55" spans="12:14">
      <c r="L55"/>
      <c r="N55"/>
    </row>
    <row r="56" spans="12:14">
      <c r="L56"/>
      <c r="N56"/>
    </row>
    <row r="57" spans="12:14">
      <c r="L57"/>
      <c r="N57"/>
    </row>
    <row r="58" spans="12:14">
      <c r="L58"/>
      <c r="N58"/>
    </row>
  </sheetData>
  <autoFilter ref="B10:Z40" xr:uid="{00000000-0001-0000-0100-000000000000}"/>
  <mergeCells count="20">
    <mergeCell ref="Z9:Z10"/>
    <mergeCell ref="O9:O10"/>
    <mergeCell ref="P9:Q9"/>
    <mergeCell ref="R9:U9"/>
    <mergeCell ref="V9:V10"/>
    <mergeCell ref="X9:X10"/>
    <mergeCell ref="Y9:Y10"/>
    <mergeCell ref="W9:W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8FF1E-FFEA-4872-BEC7-F2C479494E87}">
  <sheetPr>
    <tabColor rgb="FF00B050"/>
  </sheetPr>
  <dimension ref="B2:AA32"/>
  <sheetViews>
    <sheetView showGridLines="0" zoomScale="70" zoomScaleNormal="70" workbookViewId="0">
      <pane xSplit="7" ySplit="10" topLeftCell="Y11" activePane="bottomRight" state="frozen"/>
      <selection pane="bottomRight" activeCell="E19" sqref="E19"/>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6.140625" customWidth="1"/>
    <col min="19" max="19" width="9.7109375" customWidth="1"/>
    <col min="20" max="20" width="17.7109375" bestFit="1" customWidth="1"/>
    <col min="21" max="21" width="18.85546875" bestFit="1" customWidth="1"/>
    <col min="22" max="22" width="18.85546875" customWidth="1"/>
    <col min="23" max="23" width="17.7109375" bestFit="1" customWidth="1"/>
    <col min="24" max="24" width="23.28515625" bestFit="1" customWidth="1"/>
    <col min="25" max="25" width="19.85546875" customWidth="1"/>
    <col min="26" max="26" width="21" customWidth="1"/>
  </cols>
  <sheetData>
    <row r="2" spans="2:27" ht="18">
      <c r="B2" s="8" t="s">
        <v>0</v>
      </c>
    </row>
    <row r="3" spans="2:27">
      <c r="B3" s="7" t="s">
        <v>1</v>
      </c>
      <c r="D3" s="9" t="s">
        <v>2</v>
      </c>
      <c r="E3" s="6"/>
    </row>
    <row r="4" spans="2:27">
      <c r="B4" s="7" t="s">
        <v>3</v>
      </c>
      <c r="D4" s="10" t="s">
        <v>696</v>
      </c>
      <c r="E4" s="5"/>
    </row>
    <row r="5" spans="2:27">
      <c r="B5" s="7" t="s">
        <v>5</v>
      </c>
      <c r="D5" s="10" t="s">
        <v>6</v>
      </c>
      <c r="E5" s="5"/>
    </row>
    <row r="7" spans="2:27">
      <c r="X7" s="19"/>
    </row>
    <row r="8" spans="2:27">
      <c r="G8"/>
      <c r="H8"/>
      <c r="I8"/>
      <c r="J8"/>
      <c r="L8"/>
      <c r="N8"/>
    </row>
    <row r="9" spans="2:27"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22</v>
      </c>
      <c r="W9" s="37" t="s">
        <v>23</v>
      </c>
      <c r="X9" s="37" t="s">
        <v>24</v>
      </c>
      <c r="Y9" s="37" t="s">
        <v>25</v>
      </c>
      <c r="Z9" s="37" t="s">
        <v>26</v>
      </c>
    </row>
    <row r="10" spans="2:27"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c r="Z10" s="37"/>
    </row>
    <row r="11" spans="2:27" s="14" customFormat="1">
      <c r="B11" s="11">
        <v>1</v>
      </c>
      <c r="C11" s="12" t="s">
        <v>697</v>
      </c>
      <c r="D11" s="12" t="s">
        <v>698</v>
      </c>
      <c r="E11" s="12" t="s">
        <v>699</v>
      </c>
      <c r="F11" s="12" t="s">
        <v>700</v>
      </c>
      <c r="G11" s="11">
        <v>2024</v>
      </c>
      <c r="H11" s="16">
        <v>45560</v>
      </c>
      <c r="I11" s="16">
        <v>45925</v>
      </c>
      <c r="J11" s="11" t="s">
        <v>464</v>
      </c>
      <c r="K11" s="12" t="s">
        <v>464</v>
      </c>
      <c r="L11" s="16">
        <v>45748</v>
      </c>
      <c r="M11" s="12" t="s">
        <v>87</v>
      </c>
      <c r="N11" s="11" t="s">
        <v>41</v>
      </c>
      <c r="O11" s="25">
        <v>720000</v>
      </c>
      <c r="P11" s="2">
        <v>10</v>
      </c>
      <c r="Q11" s="25">
        <v>72000</v>
      </c>
      <c r="R11" s="25">
        <v>43200</v>
      </c>
      <c r="S11" s="25">
        <v>9450</v>
      </c>
      <c r="T11" s="25">
        <v>0</v>
      </c>
      <c r="U11" s="25">
        <v>19350</v>
      </c>
      <c r="V11" s="25">
        <v>8600</v>
      </c>
      <c r="W11" s="18">
        <v>0</v>
      </c>
      <c r="X11" s="13">
        <v>0</v>
      </c>
      <c r="Y11" s="13">
        <f>X11*91%</f>
        <v>0</v>
      </c>
      <c r="Z11" s="13"/>
      <c r="AA11" s="27"/>
    </row>
    <row r="12" spans="2:27" s="14" customFormat="1">
      <c r="B12" s="11">
        <v>2</v>
      </c>
      <c r="C12" s="12" t="s">
        <v>701</v>
      </c>
      <c r="D12" s="12" t="s">
        <v>698</v>
      </c>
      <c r="E12" s="12" t="s">
        <v>699</v>
      </c>
      <c r="F12" s="12" t="s">
        <v>700</v>
      </c>
      <c r="G12" s="11">
        <v>2024</v>
      </c>
      <c r="H12" s="16">
        <v>45560</v>
      </c>
      <c r="I12" s="16">
        <v>45925</v>
      </c>
      <c r="J12" s="11" t="s">
        <v>464</v>
      </c>
      <c r="K12" s="12" t="s">
        <v>464</v>
      </c>
      <c r="L12" s="16">
        <v>45774</v>
      </c>
      <c r="M12" s="12" t="s">
        <v>87</v>
      </c>
      <c r="N12" s="11" t="s">
        <v>41</v>
      </c>
      <c r="O12" s="25">
        <v>720000</v>
      </c>
      <c r="P12" s="2">
        <v>10</v>
      </c>
      <c r="Q12" s="25">
        <v>72000</v>
      </c>
      <c r="R12" s="25">
        <v>43200</v>
      </c>
      <c r="S12" s="25">
        <v>1350</v>
      </c>
      <c r="T12" s="25">
        <v>0</v>
      </c>
      <c r="U12" s="25">
        <v>27450</v>
      </c>
      <c r="V12" s="25">
        <v>1228</v>
      </c>
      <c r="W12" s="18">
        <v>0</v>
      </c>
      <c r="X12" s="13">
        <v>0</v>
      </c>
      <c r="Y12" s="13">
        <f t="shared" ref="Y12:Y14" si="0">X12*91%</f>
        <v>0</v>
      </c>
      <c r="Z12" s="13"/>
      <c r="AA12" s="27"/>
    </row>
    <row r="13" spans="2:27" s="14" customFormat="1">
      <c r="B13" s="11">
        <v>3</v>
      </c>
      <c r="C13" s="12" t="s">
        <v>697</v>
      </c>
      <c r="D13" s="12" t="s">
        <v>698</v>
      </c>
      <c r="E13" s="12" t="s">
        <v>699</v>
      </c>
      <c r="F13" s="12" t="s">
        <v>700</v>
      </c>
      <c r="G13" s="11">
        <v>2024</v>
      </c>
      <c r="H13" s="16">
        <v>45560</v>
      </c>
      <c r="I13" s="16">
        <v>45925</v>
      </c>
      <c r="J13" s="11" t="s">
        <v>464</v>
      </c>
      <c r="K13" s="12" t="s">
        <v>464</v>
      </c>
      <c r="L13" s="16">
        <v>45748</v>
      </c>
      <c r="M13" s="12" t="s">
        <v>87</v>
      </c>
      <c r="N13" s="11" t="s">
        <v>41</v>
      </c>
      <c r="O13" s="25">
        <v>720000</v>
      </c>
      <c r="P13" s="2">
        <v>10</v>
      </c>
      <c r="Q13" s="25">
        <v>72000</v>
      </c>
      <c r="R13" s="25">
        <v>43200</v>
      </c>
      <c r="S13" s="25">
        <v>0</v>
      </c>
      <c r="T13" s="25">
        <v>15750</v>
      </c>
      <c r="U13" s="25">
        <v>13050</v>
      </c>
      <c r="V13" s="25">
        <v>0</v>
      </c>
      <c r="W13" s="18">
        <v>14332</v>
      </c>
      <c r="X13" s="13">
        <v>0</v>
      </c>
      <c r="Y13" s="13">
        <f t="shared" si="0"/>
        <v>0</v>
      </c>
      <c r="Z13" s="13"/>
      <c r="AA13" s="27"/>
    </row>
    <row r="14" spans="2:27" s="14" customFormat="1">
      <c r="B14" s="11">
        <v>4</v>
      </c>
      <c r="C14" s="12" t="s">
        <v>701</v>
      </c>
      <c r="D14" s="12" t="s">
        <v>698</v>
      </c>
      <c r="E14" s="12" t="s">
        <v>699</v>
      </c>
      <c r="F14" s="12" t="s">
        <v>700</v>
      </c>
      <c r="G14" s="11">
        <v>2024</v>
      </c>
      <c r="H14" s="16">
        <v>45560</v>
      </c>
      <c r="I14" s="16">
        <v>45925</v>
      </c>
      <c r="J14" s="11" t="s">
        <v>464</v>
      </c>
      <c r="K14" s="12" t="s">
        <v>464</v>
      </c>
      <c r="L14" s="16">
        <v>45774</v>
      </c>
      <c r="M14" s="12" t="s">
        <v>87</v>
      </c>
      <c r="N14" s="11" t="s">
        <v>41</v>
      </c>
      <c r="O14" s="25">
        <v>720000</v>
      </c>
      <c r="P14" s="2">
        <v>10</v>
      </c>
      <c r="Q14" s="25">
        <v>72000</v>
      </c>
      <c r="R14" s="25">
        <v>43200</v>
      </c>
      <c r="S14" s="25">
        <v>0</v>
      </c>
      <c r="T14" s="25">
        <v>2250</v>
      </c>
      <c r="U14" s="25">
        <v>26550</v>
      </c>
      <c r="V14" s="25">
        <v>0</v>
      </c>
      <c r="W14" s="18">
        <v>2048</v>
      </c>
      <c r="X14" s="13">
        <v>0</v>
      </c>
      <c r="Y14" s="13">
        <f t="shared" si="0"/>
        <v>0</v>
      </c>
      <c r="Z14" s="13"/>
      <c r="AA14" s="27"/>
    </row>
    <row r="16" spans="2:27">
      <c r="V16" s="17">
        <f>SUBTOTAL(9,V11:V14)</f>
        <v>9828</v>
      </c>
      <c r="W16" s="17">
        <f>SUBTOTAL(9,W11:W14)</f>
        <v>16380</v>
      </c>
      <c r="X16" s="19"/>
    </row>
    <row r="17" spans="12:23">
      <c r="W17" s="19"/>
    </row>
    <row r="26" spans="12:23">
      <c r="L26"/>
      <c r="N26"/>
    </row>
    <row r="27" spans="12:23">
      <c r="L27"/>
      <c r="N27"/>
    </row>
    <row r="28" spans="12:23">
      <c r="L28"/>
      <c r="N28"/>
    </row>
    <row r="29" spans="12:23">
      <c r="L29"/>
      <c r="N29"/>
    </row>
    <row r="30" spans="12:23">
      <c r="L30"/>
      <c r="N30"/>
    </row>
    <row r="31" spans="12:23">
      <c r="L31"/>
      <c r="N31"/>
    </row>
    <row r="32" spans="12:23">
      <c r="L32"/>
      <c r="N32"/>
    </row>
  </sheetData>
  <autoFilter ref="B10:Z11" xr:uid="{00000000-0001-0000-0100-000000000000}"/>
  <mergeCells count="20">
    <mergeCell ref="Z9:Z10"/>
    <mergeCell ref="O9:O10"/>
    <mergeCell ref="P9:Q9"/>
    <mergeCell ref="R9:U9"/>
    <mergeCell ref="W9:W10"/>
    <mergeCell ref="X9:X10"/>
    <mergeCell ref="Y9:Y10"/>
    <mergeCell ref="V9:V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D37F4-A62C-45BC-B62D-589DDF582F74}">
  <sheetPr>
    <tabColor rgb="FF00B050"/>
  </sheetPr>
  <dimension ref="B2:AA343"/>
  <sheetViews>
    <sheetView showGridLines="0" zoomScale="70" zoomScaleNormal="70" zoomScaleSheetLayoutView="70" workbookViewId="0">
      <pane xSplit="7" ySplit="10" topLeftCell="H11" activePane="bottomRight" state="frozen"/>
      <selection pane="bottomRight" activeCell="H151" sqref="H151"/>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style="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7.7109375" customWidth="1"/>
    <col min="19" max="19" width="9.7109375" customWidth="1"/>
    <col min="20" max="20" width="17.7109375" customWidth="1"/>
    <col min="21" max="21" width="18.85546875" customWidth="1"/>
    <col min="22" max="22" width="17.7109375" bestFit="1" customWidth="1"/>
    <col min="23" max="23" width="23.28515625" bestFit="1" customWidth="1"/>
    <col min="24" max="24" width="19.85546875" customWidth="1"/>
    <col min="25" max="25" width="21" customWidth="1"/>
    <col min="26" max="26" width="18.85546875" bestFit="1" customWidth="1"/>
    <col min="27" max="27" width="6" customWidth="1"/>
  </cols>
  <sheetData>
    <row r="2" spans="2:27" ht="18">
      <c r="B2" s="8" t="s">
        <v>0</v>
      </c>
    </row>
    <row r="3" spans="2:27">
      <c r="B3" s="7" t="s">
        <v>1</v>
      </c>
      <c r="D3" s="9" t="s">
        <v>2</v>
      </c>
      <c r="E3" s="6"/>
    </row>
    <row r="4" spans="2:27">
      <c r="B4" s="7" t="s">
        <v>3</v>
      </c>
      <c r="D4" s="10" t="s">
        <v>702</v>
      </c>
      <c r="E4" s="5"/>
    </row>
    <row r="5" spans="2:27">
      <c r="B5" s="7" t="s">
        <v>5</v>
      </c>
      <c r="D5" s="10" t="s">
        <v>6</v>
      </c>
      <c r="E5" s="5"/>
    </row>
    <row r="7" spans="2:27">
      <c r="W7" s="19"/>
    </row>
    <row r="8" spans="2:27">
      <c r="G8"/>
      <c r="H8"/>
      <c r="I8"/>
      <c r="J8"/>
      <c r="L8"/>
      <c r="N8"/>
      <c r="T8" s="19"/>
    </row>
    <row r="9" spans="2:27"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703</v>
      </c>
      <c r="W9" s="37" t="s">
        <v>24</v>
      </c>
      <c r="X9" s="37" t="s">
        <v>704</v>
      </c>
      <c r="Y9" s="37" t="s">
        <v>26</v>
      </c>
    </row>
    <row r="10" spans="2:27"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row>
    <row r="11" spans="2:27">
      <c r="B11" s="11">
        <v>1</v>
      </c>
      <c r="C11" s="1" t="s">
        <v>121</v>
      </c>
      <c r="D11" s="1" t="s">
        <v>122</v>
      </c>
      <c r="E11" s="1" t="s">
        <v>123</v>
      </c>
      <c r="F11" s="29" t="s">
        <v>38</v>
      </c>
      <c r="G11" s="11">
        <v>2023</v>
      </c>
      <c r="H11" s="16">
        <v>44957</v>
      </c>
      <c r="I11" s="16">
        <v>45322</v>
      </c>
      <c r="J11" s="11">
        <v>29385</v>
      </c>
      <c r="K11" s="12" t="s">
        <v>124</v>
      </c>
      <c r="L11" s="16">
        <v>45300</v>
      </c>
      <c r="M11" s="12" t="s">
        <v>40</v>
      </c>
      <c r="N11" s="11" t="s">
        <v>41</v>
      </c>
      <c r="O11" s="25">
        <v>232007602</v>
      </c>
      <c r="P11" s="2">
        <v>100</v>
      </c>
      <c r="Q11" s="25">
        <v>232007602</v>
      </c>
      <c r="R11" s="25">
        <v>103114489.777778</v>
      </c>
      <c r="S11" s="25">
        <v>0</v>
      </c>
      <c r="T11" s="25">
        <v>127604182</v>
      </c>
      <c r="U11" s="25">
        <v>1288930.2222220004</v>
      </c>
      <c r="V11" s="13">
        <v>25520836</v>
      </c>
      <c r="W11" s="13">
        <v>250000000</v>
      </c>
      <c r="X11" s="13">
        <f t="shared" ref="X11:X74" si="0">W11*20%</f>
        <v>50000000</v>
      </c>
      <c r="Y11" s="13"/>
      <c r="Z11" s="31"/>
      <c r="AA11" s="27"/>
    </row>
    <row r="12" spans="2:27">
      <c r="B12" s="11">
        <v>2</v>
      </c>
      <c r="C12" s="1" t="s">
        <v>125</v>
      </c>
      <c r="D12" s="1" t="s">
        <v>126</v>
      </c>
      <c r="E12" s="1" t="s">
        <v>127</v>
      </c>
      <c r="F12" s="29" t="s">
        <v>38</v>
      </c>
      <c r="G12" s="11">
        <v>2023</v>
      </c>
      <c r="H12" s="16">
        <v>44865</v>
      </c>
      <c r="I12" s="16">
        <v>45596</v>
      </c>
      <c r="J12" s="11">
        <v>2971</v>
      </c>
      <c r="K12" s="12" t="s">
        <v>128</v>
      </c>
      <c r="L12" s="16">
        <v>45365</v>
      </c>
      <c r="M12" s="12" t="s">
        <v>40</v>
      </c>
      <c r="N12" s="11" t="s">
        <v>41</v>
      </c>
      <c r="O12" s="25">
        <v>113007135.34</v>
      </c>
      <c r="P12" s="2">
        <v>100</v>
      </c>
      <c r="Q12" s="25">
        <v>113007135.34</v>
      </c>
      <c r="R12" s="25">
        <v>30658605.936623</v>
      </c>
      <c r="S12" s="25">
        <v>0</v>
      </c>
      <c r="T12" s="25">
        <v>81965297</v>
      </c>
      <c r="U12" s="25">
        <v>383232.40337699652</v>
      </c>
      <c r="V12" s="13">
        <v>16393059</v>
      </c>
      <c r="W12" s="13">
        <v>305750000</v>
      </c>
      <c r="X12" s="13">
        <f t="shared" si="0"/>
        <v>61150000</v>
      </c>
      <c r="Y12" s="13"/>
      <c r="Z12" s="31"/>
      <c r="AA12" s="27"/>
    </row>
    <row r="13" spans="2:27">
      <c r="B13" s="11">
        <v>3</v>
      </c>
      <c r="C13" s="1" t="s">
        <v>129</v>
      </c>
      <c r="D13" s="1" t="s">
        <v>130</v>
      </c>
      <c r="E13" s="1" t="s">
        <v>131</v>
      </c>
      <c r="F13" s="29" t="s">
        <v>38</v>
      </c>
      <c r="G13" s="11">
        <v>2023</v>
      </c>
      <c r="H13" s="16">
        <v>45169</v>
      </c>
      <c r="I13" s="16">
        <v>45535</v>
      </c>
      <c r="J13" s="11">
        <v>2790</v>
      </c>
      <c r="K13" s="12" t="s">
        <v>132</v>
      </c>
      <c r="L13" s="16">
        <v>45502</v>
      </c>
      <c r="M13" s="12" t="s">
        <v>133</v>
      </c>
      <c r="N13" s="11" t="s">
        <v>41</v>
      </c>
      <c r="O13" s="25">
        <v>13986000</v>
      </c>
      <c r="P13" s="2">
        <v>60</v>
      </c>
      <c r="Q13" s="25">
        <v>8391600</v>
      </c>
      <c r="R13" s="25">
        <v>111888</v>
      </c>
      <c r="S13" s="25">
        <v>0</v>
      </c>
      <c r="T13" s="25">
        <v>1678319</v>
      </c>
      <c r="U13" s="25">
        <v>6601393</v>
      </c>
      <c r="V13" s="13">
        <v>335664</v>
      </c>
      <c r="W13" s="13">
        <v>0</v>
      </c>
      <c r="X13" s="13">
        <f t="shared" si="0"/>
        <v>0</v>
      </c>
      <c r="Y13" s="13"/>
      <c r="Z13" s="31"/>
      <c r="AA13" s="27"/>
    </row>
    <row r="14" spans="2:27">
      <c r="B14" s="11">
        <v>4</v>
      </c>
      <c r="C14" s="1" t="s">
        <v>134</v>
      </c>
      <c r="D14" s="1" t="s">
        <v>135</v>
      </c>
      <c r="E14" s="1" t="s">
        <v>136</v>
      </c>
      <c r="F14" s="29" t="s">
        <v>38</v>
      </c>
      <c r="G14" s="11">
        <v>2023</v>
      </c>
      <c r="H14" s="16">
        <v>45291</v>
      </c>
      <c r="I14" s="16">
        <v>45657</v>
      </c>
      <c r="J14" s="11">
        <v>2732</v>
      </c>
      <c r="K14" s="12" t="s">
        <v>137</v>
      </c>
      <c r="L14" s="16">
        <v>45602</v>
      </c>
      <c r="M14" s="12" t="s">
        <v>87</v>
      </c>
      <c r="N14" s="11" t="s">
        <v>41</v>
      </c>
      <c r="O14" s="25">
        <v>27179840</v>
      </c>
      <c r="P14" s="2">
        <v>10</v>
      </c>
      <c r="Q14" s="25">
        <v>2717984</v>
      </c>
      <c r="R14" s="25">
        <v>2695805.3398882099</v>
      </c>
      <c r="S14" s="25">
        <v>0</v>
      </c>
      <c r="T14" s="25">
        <v>17686</v>
      </c>
      <c r="U14" s="25">
        <v>4492.6601117900573</v>
      </c>
      <c r="V14" s="13">
        <v>3537</v>
      </c>
      <c r="W14" s="13">
        <v>0</v>
      </c>
      <c r="X14" s="13">
        <f t="shared" si="0"/>
        <v>0</v>
      </c>
      <c r="Y14" s="13"/>
      <c r="Z14" s="31"/>
      <c r="AA14" s="27"/>
    </row>
    <row r="15" spans="2:27">
      <c r="B15" s="11">
        <v>5</v>
      </c>
      <c r="C15" s="1" t="s">
        <v>138</v>
      </c>
      <c r="D15" s="1" t="s">
        <v>139</v>
      </c>
      <c r="E15" s="1" t="s">
        <v>140</v>
      </c>
      <c r="F15" s="29" t="s">
        <v>38</v>
      </c>
      <c r="G15" s="11">
        <v>2023</v>
      </c>
      <c r="H15" s="16">
        <v>45291</v>
      </c>
      <c r="I15" s="16">
        <v>45657</v>
      </c>
      <c r="J15" s="11">
        <v>2702</v>
      </c>
      <c r="K15" s="12" t="s">
        <v>141</v>
      </c>
      <c r="L15" s="16">
        <v>45306</v>
      </c>
      <c r="M15" s="12" t="s">
        <v>87</v>
      </c>
      <c r="N15" s="11" t="s">
        <v>41</v>
      </c>
      <c r="O15" s="25">
        <v>45908490</v>
      </c>
      <c r="P15" s="2">
        <v>10</v>
      </c>
      <c r="Q15" s="25">
        <v>4590849</v>
      </c>
      <c r="R15" s="25">
        <v>817774.36689131299</v>
      </c>
      <c r="S15" s="25">
        <v>0</v>
      </c>
      <c r="T15" s="25">
        <v>3773074.0000000098</v>
      </c>
      <c r="U15" s="25">
        <v>0.63310867734253407</v>
      </c>
      <c r="V15" s="13">
        <v>754614.99999999895</v>
      </c>
      <c r="W15" s="13">
        <v>0</v>
      </c>
      <c r="X15" s="13">
        <f t="shared" si="0"/>
        <v>0</v>
      </c>
      <c r="Y15" s="13"/>
      <c r="Z15" s="31"/>
      <c r="AA15" s="27"/>
    </row>
    <row r="16" spans="2:27">
      <c r="B16" s="11">
        <v>6</v>
      </c>
      <c r="C16" s="1" t="s">
        <v>142</v>
      </c>
      <c r="D16" s="1" t="s">
        <v>143</v>
      </c>
      <c r="E16" s="1" t="s">
        <v>144</v>
      </c>
      <c r="F16" s="29" t="s">
        <v>38</v>
      </c>
      <c r="G16" s="11">
        <v>2023</v>
      </c>
      <c r="H16" s="16">
        <v>45291</v>
      </c>
      <c r="I16" s="16">
        <v>45657</v>
      </c>
      <c r="J16" s="11">
        <v>2702</v>
      </c>
      <c r="K16" s="12" t="s">
        <v>141</v>
      </c>
      <c r="L16" s="16">
        <v>45359</v>
      </c>
      <c r="M16" s="12" t="s">
        <v>87</v>
      </c>
      <c r="N16" s="11" t="s">
        <v>41</v>
      </c>
      <c r="O16" s="25">
        <v>4624499275</v>
      </c>
      <c r="P16" s="2">
        <v>10</v>
      </c>
      <c r="Q16" s="25">
        <v>462449927.5</v>
      </c>
      <c r="R16" s="25">
        <v>202256152.16849199</v>
      </c>
      <c r="S16" s="25">
        <v>0</v>
      </c>
      <c r="T16" s="25">
        <v>260193776</v>
      </c>
      <c r="U16" s="25">
        <v>-0.66849198937416077</v>
      </c>
      <c r="V16" s="13">
        <v>52038755</v>
      </c>
      <c r="W16" s="13">
        <v>4624499275</v>
      </c>
      <c r="X16" s="13">
        <f t="shared" si="0"/>
        <v>924899855</v>
      </c>
      <c r="Y16" s="13"/>
      <c r="Z16" s="31"/>
      <c r="AA16" s="27"/>
    </row>
    <row r="17" spans="2:27">
      <c r="B17" s="11">
        <v>7</v>
      </c>
      <c r="C17" s="1" t="s">
        <v>145</v>
      </c>
      <c r="D17" s="1" t="s">
        <v>146</v>
      </c>
      <c r="E17" s="1" t="s">
        <v>147</v>
      </c>
      <c r="F17" s="29" t="s">
        <v>38</v>
      </c>
      <c r="G17" s="11">
        <v>2023</v>
      </c>
      <c r="H17" s="16">
        <v>45194</v>
      </c>
      <c r="I17" s="16">
        <v>45560</v>
      </c>
      <c r="J17" s="11">
        <v>2522</v>
      </c>
      <c r="K17" s="12" t="s">
        <v>148</v>
      </c>
      <c r="L17" s="16">
        <v>45213</v>
      </c>
      <c r="M17" s="12" t="s">
        <v>87</v>
      </c>
      <c r="N17" s="11" t="s">
        <v>41</v>
      </c>
      <c r="O17" s="25">
        <v>7514446571.6999989</v>
      </c>
      <c r="P17" s="2">
        <v>5</v>
      </c>
      <c r="Q17" s="25">
        <v>375722328.58499998</v>
      </c>
      <c r="R17" s="25">
        <v>213503726.95479101</v>
      </c>
      <c r="S17" s="25">
        <v>0</v>
      </c>
      <c r="T17" s="25">
        <v>162040682</v>
      </c>
      <c r="U17" s="25">
        <v>177919.63020896912</v>
      </c>
      <c r="V17" s="13">
        <v>32408136</v>
      </c>
      <c r="W17" s="13">
        <v>0</v>
      </c>
      <c r="X17" s="13">
        <f t="shared" si="0"/>
        <v>0</v>
      </c>
      <c r="Y17" s="13"/>
      <c r="Z17" s="31"/>
      <c r="AA17" s="27"/>
    </row>
    <row r="18" spans="2:27">
      <c r="B18" s="11">
        <v>8</v>
      </c>
      <c r="C18" s="1" t="s">
        <v>149</v>
      </c>
      <c r="D18" s="1" t="s">
        <v>150</v>
      </c>
      <c r="E18" s="1" t="s">
        <v>151</v>
      </c>
      <c r="F18" s="29" t="s">
        <v>38</v>
      </c>
      <c r="G18" s="11">
        <v>2023</v>
      </c>
      <c r="H18" s="16">
        <v>45194</v>
      </c>
      <c r="I18" s="16">
        <v>45560</v>
      </c>
      <c r="J18" s="11">
        <v>2522</v>
      </c>
      <c r="K18" s="12" t="s">
        <v>152</v>
      </c>
      <c r="L18" s="16">
        <v>45213</v>
      </c>
      <c r="M18" s="12" t="s">
        <v>87</v>
      </c>
      <c r="N18" s="11" t="s">
        <v>41</v>
      </c>
      <c r="O18" s="25">
        <v>397694544.59999996</v>
      </c>
      <c r="P18" s="2">
        <v>5</v>
      </c>
      <c r="Q18" s="25">
        <v>19884727.23</v>
      </c>
      <c r="R18" s="25">
        <v>11299470.5134326</v>
      </c>
      <c r="S18" s="25">
        <v>0</v>
      </c>
      <c r="T18" s="25">
        <v>8575841.0000000205</v>
      </c>
      <c r="U18" s="25">
        <v>9415.7165673803538</v>
      </c>
      <c r="V18" s="13">
        <v>1715168</v>
      </c>
      <c r="W18" s="13">
        <v>0</v>
      </c>
      <c r="X18" s="13">
        <f t="shared" si="0"/>
        <v>0</v>
      </c>
      <c r="Y18" s="13"/>
      <c r="Z18" s="31"/>
      <c r="AA18" s="27"/>
    </row>
    <row r="19" spans="2:27">
      <c r="B19" s="11">
        <v>9</v>
      </c>
      <c r="C19" s="1" t="s">
        <v>153</v>
      </c>
      <c r="D19" s="1" t="s">
        <v>154</v>
      </c>
      <c r="E19" s="1" t="s">
        <v>155</v>
      </c>
      <c r="F19" s="29" t="s">
        <v>38</v>
      </c>
      <c r="G19" s="11">
        <v>2023</v>
      </c>
      <c r="H19" s="16">
        <v>45016</v>
      </c>
      <c r="I19" s="16">
        <v>45382</v>
      </c>
      <c r="J19" s="11">
        <v>28111</v>
      </c>
      <c r="K19" s="12" t="s">
        <v>156</v>
      </c>
      <c r="L19" s="16">
        <v>45229</v>
      </c>
      <c r="M19" s="12" t="s">
        <v>87</v>
      </c>
      <c r="N19" s="11" t="s">
        <v>41</v>
      </c>
      <c r="O19" s="25">
        <v>2992942000</v>
      </c>
      <c r="P19" s="2">
        <v>5</v>
      </c>
      <c r="Q19" s="25">
        <v>149647100</v>
      </c>
      <c r="R19" s="25">
        <v>123234641.278733</v>
      </c>
      <c r="S19" s="25">
        <v>0</v>
      </c>
      <c r="T19" s="25">
        <v>26361121</v>
      </c>
      <c r="U19" s="25">
        <v>51337.721266999841</v>
      </c>
      <c r="V19" s="13">
        <v>5272224</v>
      </c>
      <c r="W19" s="13">
        <v>0</v>
      </c>
      <c r="X19" s="13">
        <f t="shared" si="0"/>
        <v>0</v>
      </c>
      <c r="Y19" s="13"/>
      <c r="Z19" s="31"/>
      <c r="AA19" s="27"/>
    </row>
    <row r="20" spans="2:27">
      <c r="B20" s="11">
        <v>10</v>
      </c>
      <c r="C20" s="1" t="s">
        <v>157</v>
      </c>
      <c r="D20" s="1" t="s">
        <v>158</v>
      </c>
      <c r="E20" s="1" t="s">
        <v>159</v>
      </c>
      <c r="F20" s="29" t="s">
        <v>38</v>
      </c>
      <c r="G20" s="11">
        <v>2023</v>
      </c>
      <c r="H20" s="16">
        <v>45139</v>
      </c>
      <c r="I20" s="16">
        <v>45505</v>
      </c>
      <c r="J20" s="11">
        <v>23002</v>
      </c>
      <c r="K20" s="12" t="s">
        <v>160</v>
      </c>
      <c r="L20" s="16">
        <v>45365</v>
      </c>
      <c r="M20" s="12" t="s">
        <v>87</v>
      </c>
      <c r="N20" s="11" t="s">
        <v>41</v>
      </c>
      <c r="O20" s="25">
        <v>21887324474</v>
      </c>
      <c r="P20" s="2">
        <v>10</v>
      </c>
      <c r="Q20" s="25">
        <v>2188732447.4000001</v>
      </c>
      <c r="R20" s="25">
        <v>860040910.59956503</v>
      </c>
      <c r="S20" s="25">
        <v>0</v>
      </c>
      <c r="T20" s="25">
        <v>1327258136</v>
      </c>
      <c r="U20" s="25">
        <v>1433400.8004350662</v>
      </c>
      <c r="V20" s="13">
        <v>265451627</v>
      </c>
      <c r="W20" s="13">
        <v>30617097238</v>
      </c>
      <c r="X20" s="13">
        <f t="shared" si="0"/>
        <v>6123419447.6000004</v>
      </c>
      <c r="Y20" s="13"/>
      <c r="Z20" s="31"/>
      <c r="AA20" s="27"/>
    </row>
    <row r="21" spans="2:27">
      <c r="B21" s="11">
        <v>11</v>
      </c>
      <c r="C21" s="1" t="s">
        <v>161</v>
      </c>
      <c r="D21" s="1" t="s">
        <v>162</v>
      </c>
      <c r="E21" s="1" t="s">
        <v>163</v>
      </c>
      <c r="F21" s="29" t="s">
        <v>38</v>
      </c>
      <c r="G21" s="11">
        <v>2023</v>
      </c>
      <c r="H21" s="16">
        <v>45200</v>
      </c>
      <c r="I21" s="16">
        <v>45566</v>
      </c>
      <c r="J21" s="11">
        <v>21121</v>
      </c>
      <c r="K21" s="12" t="s">
        <v>164</v>
      </c>
      <c r="L21" s="16">
        <v>45206</v>
      </c>
      <c r="M21" s="12" t="s">
        <v>87</v>
      </c>
      <c r="N21" s="11" t="s">
        <v>41</v>
      </c>
      <c r="O21" s="25">
        <v>4000000000</v>
      </c>
      <c r="P21" s="2">
        <v>15.75</v>
      </c>
      <c r="Q21" s="25">
        <v>630000000</v>
      </c>
      <c r="R21" s="25">
        <v>15031028.0204372</v>
      </c>
      <c r="S21" s="25">
        <v>0</v>
      </c>
      <c r="T21" s="25">
        <v>214939381</v>
      </c>
      <c r="U21" s="25">
        <v>400029590.97956276</v>
      </c>
      <c r="V21" s="13">
        <v>42987876</v>
      </c>
      <c r="W21" s="13">
        <v>100750000000</v>
      </c>
      <c r="X21" s="13">
        <f t="shared" si="0"/>
        <v>20150000000</v>
      </c>
      <c r="Y21" s="13"/>
      <c r="Z21" s="31"/>
      <c r="AA21" s="27"/>
    </row>
    <row r="22" spans="2:27">
      <c r="B22" s="11">
        <v>12</v>
      </c>
      <c r="C22" s="1" t="s">
        <v>165</v>
      </c>
      <c r="D22" s="1" t="s">
        <v>166</v>
      </c>
      <c r="E22" s="1" t="s">
        <v>167</v>
      </c>
      <c r="F22" s="29" t="s">
        <v>38</v>
      </c>
      <c r="G22" s="11">
        <v>2023</v>
      </c>
      <c r="H22" s="16">
        <v>45260</v>
      </c>
      <c r="I22" s="16">
        <v>45626</v>
      </c>
      <c r="J22" s="11">
        <v>29412</v>
      </c>
      <c r="K22" s="12" t="s">
        <v>168</v>
      </c>
      <c r="L22" s="16">
        <v>45604</v>
      </c>
      <c r="M22" s="12" t="s">
        <v>87</v>
      </c>
      <c r="N22" s="11" t="s">
        <v>41</v>
      </c>
      <c r="O22" s="25">
        <v>230119650</v>
      </c>
      <c r="P22" s="2">
        <v>5</v>
      </c>
      <c r="Q22" s="25">
        <v>11505982.5</v>
      </c>
      <c r="R22" s="25">
        <v>3210076.0252952799</v>
      </c>
      <c r="S22" s="25">
        <v>0</v>
      </c>
      <c r="T22" s="25">
        <v>8293232</v>
      </c>
      <c r="U22" s="25">
        <v>2674.4747047200799</v>
      </c>
      <c r="V22" s="13">
        <v>1658646</v>
      </c>
      <c r="W22" s="13">
        <v>0</v>
      </c>
      <c r="X22" s="13">
        <f t="shared" si="0"/>
        <v>0</v>
      </c>
      <c r="Y22" s="13"/>
      <c r="Z22" s="31"/>
      <c r="AA22" s="27"/>
    </row>
    <row r="23" spans="2:27">
      <c r="B23" s="11">
        <v>13</v>
      </c>
      <c r="C23" s="1" t="s">
        <v>169</v>
      </c>
      <c r="D23" s="1" t="s">
        <v>170</v>
      </c>
      <c r="E23" s="1" t="s">
        <v>171</v>
      </c>
      <c r="F23" s="29" t="s">
        <v>38</v>
      </c>
      <c r="G23" s="11">
        <v>2023</v>
      </c>
      <c r="H23" s="16">
        <v>45230</v>
      </c>
      <c r="I23" s="16">
        <v>45596</v>
      </c>
      <c r="J23" s="11">
        <v>2761</v>
      </c>
      <c r="K23" s="12" t="s">
        <v>172</v>
      </c>
      <c r="L23" s="16">
        <v>45541</v>
      </c>
      <c r="M23" s="12" t="s">
        <v>87</v>
      </c>
      <c r="N23" s="11" t="s">
        <v>41</v>
      </c>
      <c r="O23" s="25">
        <v>38677705.899999999</v>
      </c>
      <c r="P23" s="2">
        <v>10</v>
      </c>
      <c r="Q23" s="25">
        <v>3867770.59</v>
      </c>
      <c r="R23" s="25">
        <v>1123206.2545692299</v>
      </c>
      <c r="S23" s="25">
        <v>0</v>
      </c>
      <c r="T23" s="25">
        <v>2743154</v>
      </c>
      <c r="U23" s="25">
        <v>1410.3354307701811</v>
      </c>
      <c r="V23" s="13">
        <v>548631</v>
      </c>
      <c r="W23" s="13">
        <v>50000000</v>
      </c>
      <c r="X23" s="13">
        <f t="shared" si="0"/>
        <v>10000000</v>
      </c>
      <c r="Y23" s="13"/>
      <c r="Z23" s="31"/>
      <c r="AA23" s="27"/>
    </row>
    <row r="24" spans="2:27">
      <c r="B24" s="11">
        <v>14</v>
      </c>
      <c r="C24" s="1" t="s">
        <v>173</v>
      </c>
      <c r="D24" s="1" t="s">
        <v>170</v>
      </c>
      <c r="E24" s="1" t="s">
        <v>171</v>
      </c>
      <c r="F24" s="29" t="s">
        <v>38</v>
      </c>
      <c r="G24" s="11">
        <v>2023</v>
      </c>
      <c r="H24" s="16">
        <v>45230</v>
      </c>
      <c r="I24" s="16">
        <v>45596</v>
      </c>
      <c r="J24" s="11">
        <v>2761</v>
      </c>
      <c r="K24" s="12" t="s">
        <v>172</v>
      </c>
      <c r="L24" s="16">
        <v>45476</v>
      </c>
      <c r="M24" s="12" t="s">
        <v>87</v>
      </c>
      <c r="N24" s="11" t="s">
        <v>41</v>
      </c>
      <c r="O24" s="25">
        <v>39525899.75</v>
      </c>
      <c r="P24" s="2">
        <v>10</v>
      </c>
      <c r="Q24" s="25">
        <v>3952589.9750000001</v>
      </c>
      <c r="R24" s="25">
        <v>642706.34143478097</v>
      </c>
      <c r="S24" s="25">
        <v>0</v>
      </c>
      <c r="T24" s="25">
        <v>131614</v>
      </c>
      <c r="U24" s="25">
        <v>3178269.6335652191</v>
      </c>
      <c r="V24" s="13">
        <v>26323</v>
      </c>
      <c r="W24" s="13">
        <v>0</v>
      </c>
      <c r="X24" s="13">
        <f t="shared" si="0"/>
        <v>0</v>
      </c>
      <c r="Y24" s="13"/>
      <c r="Z24" s="31"/>
      <c r="AA24" s="27"/>
    </row>
    <row r="25" spans="2:27">
      <c r="B25" s="11">
        <v>15</v>
      </c>
      <c r="C25" s="1" t="s">
        <v>174</v>
      </c>
      <c r="D25" s="1" t="s">
        <v>170</v>
      </c>
      <c r="E25" s="1" t="s">
        <v>171</v>
      </c>
      <c r="F25" s="29" t="s">
        <v>38</v>
      </c>
      <c r="G25" s="11">
        <v>2023</v>
      </c>
      <c r="H25" s="16">
        <v>45230</v>
      </c>
      <c r="I25" s="16">
        <v>45596</v>
      </c>
      <c r="J25" s="11">
        <v>2761</v>
      </c>
      <c r="K25" s="12" t="s">
        <v>172</v>
      </c>
      <c r="L25" s="16">
        <v>45552</v>
      </c>
      <c r="M25" s="12" t="s">
        <v>87</v>
      </c>
      <c r="N25" s="11" t="s">
        <v>41</v>
      </c>
      <c r="O25" s="25">
        <v>39525899.75</v>
      </c>
      <c r="P25" s="2">
        <v>10</v>
      </c>
      <c r="Q25" s="25">
        <v>3952589.9750000001</v>
      </c>
      <c r="R25" s="25">
        <v>642706.34143478097</v>
      </c>
      <c r="S25" s="25">
        <v>0</v>
      </c>
      <c r="T25" s="25">
        <v>72340</v>
      </c>
      <c r="U25" s="25">
        <v>3237543.6335652191</v>
      </c>
      <c r="V25" s="13">
        <v>14468</v>
      </c>
      <c r="W25" s="13">
        <v>0</v>
      </c>
      <c r="X25" s="13">
        <f t="shared" si="0"/>
        <v>0</v>
      </c>
      <c r="Y25" s="13"/>
      <c r="Z25" s="31"/>
      <c r="AA25" s="27"/>
    </row>
    <row r="26" spans="2:27">
      <c r="B26" s="11">
        <v>16</v>
      </c>
      <c r="C26" s="1" t="s">
        <v>175</v>
      </c>
      <c r="D26" s="1" t="s">
        <v>170</v>
      </c>
      <c r="E26" s="1" t="s">
        <v>171</v>
      </c>
      <c r="F26" s="29" t="s">
        <v>38</v>
      </c>
      <c r="G26" s="11">
        <v>2023</v>
      </c>
      <c r="H26" s="16">
        <v>45230</v>
      </c>
      <c r="I26" s="16">
        <v>45596</v>
      </c>
      <c r="J26" s="11">
        <v>2761</v>
      </c>
      <c r="K26" s="12" t="s">
        <v>172</v>
      </c>
      <c r="L26" s="16">
        <v>45581</v>
      </c>
      <c r="M26" s="12" t="s">
        <v>87</v>
      </c>
      <c r="N26" s="11" t="s">
        <v>41</v>
      </c>
      <c r="O26" s="25">
        <v>39525899.75</v>
      </c>
      <c r="P26" s="2">
        <v>10</v>
      </c>
      <c r="Q26" s="25">
        <v>3952589.9750000001</v>
      </c>
      <c r="R26" s="25">
        <v>642706.34143478097</v>
      </c>
      <c r="S26" s="25">
        <v>0</v>
      </c>
      <c r="T26" s="25">
        <v>3105144</v>
      </c>
      <c r="U26" s="25">
        <v>204739.63356521912</v>
      </c>
      <c r="V26" s="13">
        <v>621029</v>
      </c>
      <c r="W26" s="13">
        <v>0</v>
      </c>
      <c r="X26" s="13">
        <f t="shared" si="0"/>
        <v>0</v>
      </c>
      <c r="Y26" s="13"/>
      <c r="Z26" s="31"/>
      <c r="AA26" s="27"/>
    </row>
    <row r="27" spans="2:27">
      <c r="B27" s="11">
        <v>17</v>
      </c>
      <c r="C27" s="1" t="s">
        <v>176</v>
      </c>
      <c r="D27" s="1" t="s">
        <v>177</v>
      </c>
      <c r="E27" s="1" t="s">
        <v>178</v>
      </c>
      <c r="F27" s="29" t="s">
        <v>38</v>
      </c>
      <c r="G27" s="11">
        <v>2023</v>
      </c>
      <c r="H27" s="16">
        <v>45277</v>
      </c>
      <c r="I27" s="16">
        <v>45643</v>
      </c>
      <c r="J27" s="11">
        <v>2046</v>
      </c>
      <c r="K27" s="12" t="s">
        <v>179</v>
      </c>
      <c r="L27" s="16">
        <v>45605</v>
      </c>
      <c r="M27" s="12" t="s">
        <v>87</v>
      </c>
      <c r="N27" s="11" t="s">
        <v>41</v>
      </c>
      <c r="O27" s="25">
        <v>3545060959.3999996</v>
      </c>
      <c r="P27" s="2">
        <v>5</v>
      </c>
      <c r="Q27" s="25">
        <v>177253047.97</v>
      </c>
      <c r="R27" s="25">
        <v>118042038.162561</v>
      </c>
      <c r="S27" s="25">
        <v>0</v>
      </c>
      <c r="T27" s="25">
        <v>59112643</v>
      </c>
      <c r="U27" s="25">
        <v>98366.807438999414</v>
      </c>
      <c r="V27" s="13">
        <v>11822529</v>
      </c>
      <c r="W27" s="13">
        <v>0</v>
      </c>
      <c r="X27" s="13">
        <f t="shared" si="0"/>
        <v>0</v>
      </c>
      <c r="Y27" s="13"/>
      <c r="Z27" s="31"/>
      <c r="AA27" s="27"/>
    </row>
    <row r="28" spans="2:27">
      <c r="B28" s="11">
        <v>18</v>
      </c>
      <c r="C28" s="1" t="s">
        <v>180</v>
      </c>
      <c r="D28" s="1" t="s">
        <v>181</v>
      </c>
      <c r="E28" s="1" t="s">
        <v>182</v>
      </c>
      <c r="F28" s="29" t="s">
        <v>38</v>
      </c>
      <c r="G28" s="11">
        <v>2023</v>
      </c>
      <c r="H28" s="16">
        <v>45260</v>
      </c>
      <c r="I28" s="16">
        <v>45626</v>
      </c>
      <c r="J28" s="11">
        <v>2723</v>
      </c>
      <c r="K28" s="12" t="s">
        <v>183</v>
      </c>
      <c r="L28" s="16">
        <v>45447</v>
      </c>
      <c r="M28" s="12" t="s">
        <v>87</v>
      </c>
      <c r="N28" s="11" t="s">
        <v>41</v>
      </c>
      <c r="O28" s="25">
        <v>13594214.399999999</v>
      </c>
      <c r="P28" s="2">
        <v>5</v>
      </c>
      <c r="Q28" s="25">
        <v>679710.71999999997</v>
      </c>
      <c r="R28" s="25">
        <v>43803.0347032379</v>
      </c>
      <c r="S28" s="25">
        <v>0</v>
      </c>
      <c r="T28" s="25">
        <v>635870</v>
      </c>
      <c r="U28" s="25">
        <v>37.68529676203616</v>
      </c>
      <c r="V28" s="13">
        <v>127174</v>
      </c>
      <c r="W28" s="13">
        <v>0</v>
      </c>
      <c r="X28" s="13">
        <f t="shared" si="0"/>
        <v>0</v>
      </c>
      <c r="Y28" s="13"/>
      <c r="Z28" s="31"/>
      <c r="AA28" s="27"/>
    </row>
    <row r="29" spans="2:27">
      <c r="B29" s="11">
        <v>19</v>
      </c>
      <c r="C29" s="1" t="s">
        <v>184</v>
      </c>
      <c r="D29" s="1" t="s">
        <v>185</v>
      </c>
      <c r="E29" s="1" t="s">
        <v>186</v>
      </c>
      <c r="F29" s="29" t="s">
        <v>38</v>
      </c>
      <c r="G29" s="11">
        <v>2023</v>
      </c>
      <c r="H29" s="16">
        <v>45291</v>
      </c>
      <c r="I29" s="16">
        <v>45657</v>
      </c>
      <c r="J29" s="11">
        <v>2971</v>
      </c>
      <c r="K29" s="12" t="s">
        <v>187</v>
      </c>
      <c r="L29" s="16">
        <v>45565</v>
      </c>
      <c r="M29" s="12" t="s">
        <v>87</v>
      </c>
      <c r="N29" s="11" t="s">
        <v>41</v>
      </c>
      <c r="O29" s="25">
        <v>252162505</v>
      </c>
      <c r="P29" s="2">
        <v>5</v>
      </c>
      <c r="Q29" s="25">
        <v>12608125.25</v>
      </c>
      <c r="R29" s="25">
        <v>11795561.1271348</v>
      </c>
      <c r="S29" s="25">
        <v>0</v>
      </c>
      <c r="T29" s="25">
        <v>30190</v>
      </c>
      <c r="U29" s="25">
        <v>782374.12286520004</v>
      </c>
      <c r="V29" s="13">
        <v>6038</v>
      </c>
      <c r="W29" s="13">
        <v>0</v>
      </c>
      <c r="X29" s="13">
        <f t="shared" si="0"/>
        <v>0</v>
      </c>
      <c r="Y29" s="13"/>
      <c r="Z29" s="31"/>
      <c r="AA29" s="27"/>
    </row>
    <row r="30" spans="2:27">
      <c r="B30" s="11">
        <v>20</v>
      </c>
      <c r="C30" s="1" t="s">
        <v>188</v>
      </c>
      <c r="D30" s="1" t="s">
        <v>185</v>
      </c>
      <c r="E30" s="1" t="s">
        <v>186</v>
      </c>
      <c r="F30" s="29" t="s">
        <v>38</v>
      </c>
      <c r="G30" s="11">
        <v>2023</v>
      </c>
      <c r="H30" s="16">
        <v>45291</v>
      </c>
      <c r="I30" s="16">
        <v>45657</v>
      </c>
      <c r="J30" s="11">
        <v>2971</v>
      </c>
      <c r="K30" s="12" t="s">
        <v>187</v>
      </c>
      <c r="L30" s="16">
        <v>45540</v>
      </c>
      <c r="M30" s="12" t="s">
        <v>87</v>
      </c>
      <c r="N30" s="11" t="s">
        <v>41</v>
      </c>
      <c r="O30" s="25">
        <v>252162505</v>
      </c>
      <c r="P30" s="2">
        <v>5</v>
      </c>
      <c r="Q30" s="25">
        <v>12608125.25</v>
      </c>
      <c r="R30" s="25">
        <v>11795561.1271348</v>
      </c>
      <c r="S30" s="25">
        <v>0</v>
      </c>
      <c r="T30" s="25">
        <v>24947</v>
      </c>
      <c r="U30" s="25">
        <v>787617.12286520004</v>
      </c>
      <c r="V30" s="13">
        <v>4989</v>
      </c>
      <c r="W30" s="13">
        <v>0</v>
      </c>
      <c r="X30" s="13">
        <f t="shared" si="0"/>
        <v>0</v>
      </c>
      <c r="Y30" s="13"/>
      <c r="Z30" s="31"/>
      <c r="AA30" s="27"/>
    </row>
    <row r="31" spans="2:27">
      <c r="B31" s="11">
        <v>21</v>
      </c>
      <c r="C31" s="1" t="s">
        <v>189</v>
      </c>
      <c r="D31" s="1" t="s">
        <v>185</v>
      </c>
      <c r="E31" s="1" t="s">
        <v>186</v>
      </c>
      <c r="F31" s="29" t="s">
        <v>38</v>
      </c>
      <c r="G31" s="11">
        <v>2023</v>
      </c>
      <c r="H31" s="16">
        <v>45291</v>
      </c>
      <c r="I31" s="16">
        <v>45657</v>
      </c>
      <c r="J31" s="11">
        <v>2971</v>
      </c>
      <c r="K31" s="12" t="s">
        <v>187</v>
      </c>
      <c r="L31" s="16">
        <v>45532</v>
      </c>
      <c r="M31" s="12" t="s">
        <v>87</v>
      </c>
      <c r="N31" s="11" t="s">
        <v>41</v>
      </c>
      <c r="O31" s="25">
        <v>252162505</v>
      </c>
      <c r="P31" s="2">
        <v>5</v>
      </c>
      <c r="Q31" s="25">
        <v>12608125.25</v>
      </c>
      <c r="R31" s="25">
        <v>11795561.1271348</v>
      </c>
      <c r="S31" s="25">
        <v>0</v>
      </c>
      <c r="T31" s="25">
        <v>38005</v>
      </c>
      <c r="U31" s="25">
        <v>774559.12286520004</v>
      </c>
      <c r="V31" s="13">
        <v>7601</v>
      </c>
      <c r="W31" s="13">
        <v>0</v>
      </c>
      <c r="X31" s="13">
        <f t="shared" si="0"/>
        <v>0</v>
      </c>
      <c r="Y31" s="13"/>
      <c r="Z31" s="31"/>
      <c r="AA31" s="27"/>
    </row>
    <row r="32" spans="2:27">
      <c r="B32" s="11">
        <v>22</v>
      </c>
      <c r="C32" s="1" t="s">
        <v>190</v>
      </c>
      <c r="D32" s="1" t="s">
        <v>185</v>
      </c>
      <c r="E32" s="1" t="s">
        <v>186</v>
      </c>
      <c r="F32" s="29" t="s">
        <v>38</v>
      </c>
      <c r="G32" s="11">
        <v>2023</v>
      </c>
      <c r="H32" s="16">
        <v>45291</v>
      </c>
      <c r="I32" s="16">
        <v>45657</v>
      </c>
      <c r="J32" s="11">
        <v>2971</v>
      </c>
      <c r="K32" s="12" t="s">
        <v>187</v>
      </c>
      <c r="L32" s="16">
        <v>45537</v>
      </c>
      <c r="M32" s="12" t="s">
        <v>87</v>
      </c>
      <c r="N32" s="11" t="s">
        <v>41</v>
      </c>
      <c r="O32" s="25">
        <v>252162505</v>
      </c>
      <c r="P32" s="2">
        <v>5</v>
      </c>
      <c r="Q32" s="25">
        <v>12608125.25</v>
      </c>
      <c r="R32" s="25">
        <v>11795561.1271348</v>
      </c>
      <c r="S32" s="25">
        <v>0</v>
      </c>
      <c r="T32" s="25">
        <v>43208</v>
      </c>
      <c r="U32" s="25">
        <v>769356.12286520004</v>
      </c>
      <c r="V32" s="13">
        <v>8642</v>
      </c>
      <c r="W32" s="13">
        <v>0</v>
      </c>
      <c r="X32" s="13">
        <f t="shared" si="0"/>
        <v>0</v>
      </c>
      <c r="Y32" s="13"/>
      <c r="Z32" s="31"/>
      <c r="AA32" s="27"/>
    </row>
    <row r="33" spans="2:27">
      <c r="B33" s="11">
        <v>23</v>
      </c>
      <c r="C33" s="1" t="s">
        <v>191</v>
      </c>
      <c r="D33" s="1" t="s">
        <v>185</v>
      </c>
      <c r="E33" s="1" t="s">
        <v>186</v>
      </c>
      <c r="F33" s="29" t="s">
        <v>38</v>
      </c>
      <c r="G33" s="11">
        <v>2023</v>
      </c>
      <c r="H33" s="16">
        <v>45291</v>
      </c>
      <c r="I33" s="16">
        <v>45657</v>
      </c>
      <c r="J33" s="11">
        <v>2971</v>
      </c>
      <c r="K33" s="12" t="s">
        <v>187</v>
      </c>
      <c r="L33" s="16">
        <v>45554</v>
      </c>
      <c r="M33" s="12" t="s">
        <v>87</v>
      </c>
      <c r="N33" s="11" t="s">
        <v>41</v>
      </c>
      <c r="O33" s="25">
        <v>252162505</v>
      </c>
      <c r="P33" s="2">
        <v>5</v>
      </c>
      <c r="Q33" s="25">
        <v>12608125.25</v>
      </c>
      <c r="R33" s="25">
        <v>11795561.1271348</v>
      </c>
      <c r="S33" s="25">
        <v>0</v>
      </c>
      <c r="T33" s="25">
        <v>22452</v>
      </c>
      <c r="U33" s="25">
        <v>790112.12286520004</v>
      </c>
      <c r="V33" s="13">
        <v>4490</v>
      </c>
      <c r="W33" s="13">
        <v>0</v>
      </c>
      <c r="X33" s="13">
        <f t="shared" si="0"/>
        <v>0</v>
      </c>
      <c r="Y33" s="13"/>
      <c r="Z33" s="31"/>
      <c r="AA33" s="27"/>
    </row>
    <row r="34" spans="2:27">
      <c r="B34" s="11">
        <v>24</v>
      </c>
      <c r="C34" s="1" t="s">
        <v>192</v>
      </c>
      <c r="D34" s="1" t="s">
        <v>185</v>
      </c>
      <c r="E34" s="1" t="s">
        <v>186</v>
      </c>
      <c r="F34" s="29" t="s">
        <v>38</v>
      </c>
      <c r="G34" s="11">
        <v>2023</v>
      </c>
      <c r="H34" s="16">
        <v>45291</v>
      </c>
      <c r="I34" s="16">
        <v>45657</v>
      </c>
      <c r="J34" s="11">
        <v>2971</v>
      </c>
      <c r="K34" s="12" t="s">
        <v>187</v>
      </c>
      <c r="L34" s="16">
        <v>45514</v>
      </c>
      <c r="M34" s="12" t="s">
        <v>87</v>
      </c>
      <c r="N34" s="11" t="s">
        <v>41</v>
      </c>
      <c r="O34" s="25">
        <v>252162505</v>
      </c>
      <c r="P34" s="2">
        <v>5</v>
      </c>
      <c r="Q34" s="25">
        <v>12608125.25</v>
      </c>
      <c r="R34" s="25">
        <v>11795561.1271348</v>
      </c>
      <c r="S34" s="25">
        <v>0</v>
      </c>
      <c r="T34" s="25">
        <v>25686</v>
      </c>
      <c r="U34" s="25">
        <v>786878.12286520004</v>
      </c>
      <c r="V34" s="13">
        <v>5137</v>
      </c>
      <c r="W34" s="13">
        <v>0</v>
      </c>
      <c r="X34" s="13">
        <f t="shared" si="0"/>
        <v>0</v>
      </c>
      <c r="Y34" s="13"/>
      <c r="Z34" s="31"/>
      <c r="AA34" s="27"/>
    </row>
    <row r="35" spans="2:27">
      <c r="B35" s="11">
        <v>25</v>
      </c>
      <c r="C35" s="1" t="s">
        <v>193</v>
      </c>
      <c r="D35" s="1" t="s">
        <v>185</v>
      </c>
      <c r="E35" s="1" t="s">
        <v>186</v>
      </c>
      <c r="F35" s="29" t="s">
        <v>38</v>
      </c>
      <c r="G35" s="11">
        <v>2023</v>
      </c>
      <c r="H35" s="16">
        <v>45291</v>
      </c>
      <c r="I35" s="16">
        <v>45657</v>
      </c>
      <c r="J35" s="11">
        <v>2971</v>
      </c>
      <c r="K35" s="12" t="s">
        <v>187</v>
      </c>
      <c r="L35" s="16">
        <v>45626</v>
      </c>
      <c r="M35" s="12" t="s">
        <v>87</v>
      </c>
      <c r="N35" s="11" t="s">
        <v>41</v>
      </c>
      <c r="O35" s="25">
        <v>252162505</v>
      </c>
      <c r="P35" s="2">
        <v>5</v>
      </c>
      <c r="Q35" s="25">
        <v>12608125.25</v>
      </c>
      <c r="R35" s="25">
        <v>11795561.1271348</v>
      </c>
      <c r="S35" s="25">
        <v>0</v>
      </c>
      <c r="T35" s="25">
        <v>19601</v>
      </c>
      <c r="U35" s="25">
        <v>792963.12286520004</v>
      </c>
      <c r="V35" s="13">
        <v>3920</v>
      </c>
      <c r="W35" s="13">
        <v>0</v>
      </c>
      <c r="X35" s="13">
        <f t="shared" si="0"/>
        <v>0</v>
      </c>
      <c r="Y35" s="13"/>
      <c r="Z35" s="31"/>
      <c r="AA35" s="27"/>
    </row>
    <row r="36" spans="2:27">
      <c r="B36" s="11">
        <v>26</v>
      </c>
      <c r="C36" s="1" t="s">
        <v>194</v>
      </c>
      <c r="D36" s="1" t="s">
        <v>185</v>
      </c>
      <c r="E36" s="1" t="s">
        <v>186</v>
      </c>
      <c r="F36" s="29" t="s">
        <v>38</v>
      </c>
      <c r="G36" s="11">
        <v>2023</v>
      </c>
      <c r="H36" s="16">
        <v>45291</v>
      </c>
      <c r="I36" s="16">
        <v>45657</v>
      </c>
      <c r="J36" s="11">
        <v>2971</v>
      </c>
      <c r="K36" s="12" t="s">
        <v>187</v>
      </c>
      <c r="L36" s="16">
        <v>45481</v>
      </c>
      <c r="M36" s="12" t="s">
        <v>87</v>
      </c>
      <c r="N36" s="11" t="s">
        <v>41</v>
      </c>
      <c r="O36" s="25">
        <v>252162505</v>
      </c>
      <c r="P36" s="2">
        <v>5</v>
      </c>
      <c r="Q36" s="25">
        <v>12608125.25</v>
      </c>
      <c r="R36" s="25">
        <v>11795561.1271348</v>
      </c>
      <c r="S36" s="25">
        <v>0</v>
      </c>
      <c r="T36" s="25">
        <v>88013</v>
      </c>
      <c r="U36" s="25">
        <v>724551.12286520004</v>
      </c>
      <c r="V36" s="13">
        <v>17603</v>
      </c>
      <c r="W36" s="13">
        <v>0</v>
      </c>
      <c r="X36" s="13">
        <f t="shared" si="0"/>
        <v>0</v>
      </c>
      <c r="Y36" s="13"/>
      <c r="Z36" s="31"/>
      <c r="AA36" s="27"/>
    </row>
    <row r="37" spans="2:27">
      <c r="B37" s="11">
        <v>27</v>
      </c>
      <c r="C37" s="1" t="s">
        <v>195</v>
      </c>
      <c r="D37" s="1" t="s">
        <v>185</v>
      </c>
      <c r="E37" s="1" t="s">
        <v>186</v>
      </c>
      <c r="F37" s="29" t="s">
        <v>38</v>
      </c>
      <c r="G37" s="11">
        <v>2023</v>
      </c>
      <c r="H37" s="16">
        <v>45291</v>
      </c>
      <c r="I37" s="16">
        <v>45657</v>
      </c>
      <c r="J37" s="11">
        <v>2971</v>
      </c>
      <c r="K37" s="12" t="s">
        <v>187</v>
      </c>
      <c r="L37" s="16">
        <v>45445</v>
      </c>
      <c r="M37" s="12" t="s">
        <v>87</v>
      </c>
      <c r="N37" s="11" t="s">
        <v>41</v>
      </c>
      <c r="O37" s="25">
        <v>252162505</v>
      </c>
      <c r="P37" s="2">
        <v>5</v>
      </c>
      <c r="Q37" s="25">
        <v>12608125.25</v>
      </c>
      <c r="R37" s="25">
        <v>11795561.1271348</v>
      </c>
      <c r="S37" s="25">
        <v>0</v>
      </c>
      <c r="T37" s="25">
        <v>425113</v>
      </c>
      <c r="U37" s="25">
        <v>387451.12286520004</v>
      </c>
      <c r="V37" s="13">
        <v>85023</v>
      </c>
      <c r="W37" s="13">
        <v>0</v>
      </c>
      <c r="X37" s="13">
        <f t="shared" si="0"/>
        <v>0</v>
      </c>
      <c r="Y37" s="13"/>
      <c r="Z37" s="31"/>
      <c r="AA37" s="27"/>
    </row>
    <row r="38" spans="2:27">
      <c r="B38" s="11">
        <v>28</v>
      </c>
      <c r="C38" s="1" t="s">
        <v>196</v>
      </c>
      <c r="D38" s="1" t="s">
        <v>185</v>
      </c>
      <c r="E38" s="1" t="s">
        <v>186</v>
      </c>
      <c r="F38" s="29" t="s">
        <v>38</v>
      </c>
      <c r="G38" s="11">
        <v>2023</v>
      </c>
      <c r="H38" s="16">
        <v>45291</v>
      </c>
      <c r="I38" s="16">
        <v>45657</v>
      </c>
      <c r="J38" s="11">
        <v>2971</v>
      </c>
      <c r="K38" s="12" t="s">
        <v>187</v>
      </c>
      <c r="L38" s="16">
        <v>45575</v>
      </c>
      <c r="M38" s="12" t="s">
        <v>87</v>
      </c>
      <c r="N38" s="11" t="s">
        <v>41</v>
      </c>
      <c r="O38" s="25">
        <v>252162505</v>
      </c>
      <c r="P38" s="2">
        <v>5</v>
      </c>
      <c r="Q38" s="25">
        <v>12608125.25</v>
      </c>
      <c r="R38" s="25">
        <v>11795561.1271348</v>
      </c>
      <c r="S38" s="25">
        <v>0</v>
      </c>
      <c r="T38" s="25">
        <v>26649</v>
      </c>
      <c r="U38" s="25">
        <v>785915.12286520004</v>
      </c>
      <c r="V38" s="13">
        <v>5330</v>
      </c>
      <c r="W38" s="13">
        <v>0</v>
      </c>
      <c r="X38" s="13">
        <f t="shared" si="0"/>
        <v>0</v>
      </c>
      <c r="Y38" s="13"/>
      <c r="Z38" s="31"/>
      <c r="AA38" s="27"/>
    </row>
    <row r="39" spans="2:27">
      <c r="B39" s="11">
        <v>29</v>
      </c>
      <c r="C39" s="1" t="s">
        <v>197</v>
      </c>
      <c r="D39" s="1" t="s">
        <v>185</v>
      </c>
      <c r="E39" s="1" t="s">
        <v>186</v>
      </c>
      <c r="F39" s="29" t="s">
        <v>38</v>
      </c>
      <c r="G39" s="11">
        <v>2023</v>
      </c>
      <c r="H39" s="16">
        <v>45291</v>
      </c>
      <c r="I39" s="16">
        <v>45657</v>
      </c>
      <c r="J39" s="11">
        <v>2971</v>
      </c>
      <c r="K39" s="12" t="s">
        <v>187</v>
      </c>
      <c r="L39" s="16">
        <v>45607</v>
      </c>
      <c r="M39" s="12" t="s">
        <v>87</v>
      </c>
      <c r="N39" s="11" t="s">
        <v>41</v>
      </c>
      <c r="O39" s="25">
        <v>252162505</v>
      </c>
      <c r="P39" s="2">
        <v>5</v>
      </c>
      <c r="Q39" s="25">
        <v>12608125.25</v>
      </c>
      <c r="R39" s="25">
        <v>11795561.1271348</v>
      </c>
      <c r="S39" s="25">
        <v>0</v>
      </c>
      <c r="T39" s="25">
        <v>65751</v>
      </c>
      <c r="U39" s="25">
        <v>746813.12286520004</v>
      </c>
      <c r="V39" s="13">
        <v>13150</v>
      </c>
      <c r="W39" s="13">
        <v>0</v>
      </c>
      <c r="X39" s="13">
        <f t="shared" si="0"/>
        <v>0</v>
      </c>
      <c r="Y39" s="13"/>
      <c r="Z39" s="31"/>
      <c r="AA39" s="27"/>
    </row>
    <row r="40" spans="2:27">
      <c r="B40" s="11">
        <v>30</v>
      </c>
      <c r="C40" s="1" t="s">
        <v>198</v>
      </c>
      <c r="D40" s="1" t="s">
        <v>199</v>
      </c>
      <c r="E40" s="1" t="s">
        <v>200</v>
      </c>
      <c r="F40" s="29" t="s">
        <v>38</v>
      </c>
      <c r="G40" s="11">
        <v>2023</v>
      </c>
      <c r="H40" s="16">
        <v>45078</v>
      </c>
      <c r="I40" s="16">
        <v>45444</v>
      </c>
      <c r="J40" s="11" t="s">
        <v>99</v>
      </c>
      <c r="K40" s="12" t="s">
        <v>201</v>
      </c>
      <c r="L40" s="16">
        <v>45409</v>
      </c>
      <c r="M40" s="12" t="s">
        <v>87</v>
      </c>
      <c r="N40" s="11" t="s">
        <v>41</v>
      </c>
      <c r="O40" s="25">
        <v>69219405.999999985</v>
      </c>
      <c r="P40" s="2">
        <v>10</v>
      </c>
      <c r="Q40" s="25">
        <v>6921940.5999999996</v>
      </c>
      <c r="R40" s="25">
        <v>2045893.7733990201</v>
      </c>
      <c r="S40" s="25">
        <v>0</v>
      </c>
      <c r="T40" s="25">
        <v>4190671</v>
      </c>
      <c r="U40" s="25">
        <v>685375.82660098001</v>
      </c>
      <c r="V40" s="13">
        <v>838134</v>
      </c>
      <c r="W40" s="13">
        <v>0</v>
      </c>
      <c r="X40" s="13">
        <f t="shared" si="0"/>
        <v>0</v>
      </c>
      <c r="Y40" s="13"/>
      <c r="Z40" s="31"/>
      <c r="AA40" s="27"/>
    </row>
    <row r="41" spans="2:27">
      <c r="B41" s="11">
        <v>31</v>
      </c>
      <c r="C41" s="1" t="s">
        <v>202</v>
      </c>
      <c r="D41" s="1" t="s">
        <v>203</v>
      </c>
      <c r="E41" s="1" t="s">
        <v>204</v>
      </c>
      <c r="F41" s="29" t="s">
        <v>38</v>
      </c>
      <c r="G41" s="11">
        <v>2023</v>
      </c>
      <c r="H41" s="16">
        <v>45078</v>
      </c>
      <c r="I41" s="16">
        <v>45444</v>
      </c>
      <c r="J41" s="11">
        <v>2975</v>
      </c>
      <c r="K41" s="12" t="s">
        <v>205</v>
      </c>
      <c r="L41" s="16">
        <v>45409</v>
      </c>
      <c r="M41" s="12" t="s">
        <v>87</v>
      </c>
      <c r="N41" s="11" t="s">
        <v>41</v>
      </c>
      <c r="O41" s="25">
        <v>16550100</v>
      </c>
      <c r="P41" s="2">
        <v>10</v>
      </c>
      <c r="Q41" s="25">
        <v>1655010</v>
      </c>
      <c r="R41" s="25">
        <v>413752.41380158102</v>
      </c>
      <c r="S41" s="25">
        <v>0</v>
      </c>
      <c r="T41" s="25">
        <v>1102650</v>
      </c>
      <c r="U41" s="25">
        <v>138607.58619841887</v>
      </c>
      <c r="V41" s="13">
        <v>220530</v>
      </c>
      <c r="W41" s="13">
        <v>0</v>
      </c>
      <c r="X41" s="13">
        <f t="shared" si="0"/>
        <v>0</v>
      </c>
      <c r="Y41" s="13"/>
      <c r="Z41" s="31"/>
      <c r="AA41" s="27"/>
    </row>
    <row r="42" spans="2:27">
      <c r="B42" s="11">
        <v>32</v>
      </c>
      <c r="C42" s="1" t="s">
        <v>206</v>
      </c>
      <c r="D42" s="1" t="s">
        <v>207</v>
      </c>
      <c r="E42" s="1" t="s">
        <v>208</v>
      </c>
      <c r="F42" s="29" t="s">
        <v>38</v>
      </c>
      <c r="G42" s="11">
        <v>2023</v>
      </c>
      <c r="H42" s="16">
        <v>45291</v>
      </c>
      <c r="I42" s="16">
        <v>45657</v>
      </c>
      <c r="J42" s="11">
        <v>2975</v>
      </c>
      <c r="K42" s="12" t="s">
        <v>205</v>
      </c>
      <c r="L42" s="16">
        <v>45409</v>
      </c>
      <c r="M42" s="12" t="s">
        <v>87</v>
      </c>
      <c r="N42" s="11" t="s">
        <v>41</v>
      </c>
      <c r="O42" s="25">
        <v>198221698</v>
      </c>
      <c r="P42" s="2">
        <v>10</v>
      </c>
      <c r="Q42" s="25">
        <v>19822169.800000001</v>
      </c>
      <c r="R42" s="25">
        <v>2101290.0848056902</v>
      </c>
      <c r="S42" s="25">
        <v>0</v>
      </c>
      <c r="T42" s="25">
        <v>17016948</v>
      </c>
      <c r="U42" s="25">
        <v>703931.71519431099</v>
      </c>
      <c r="V42" s="13">
        <v>3403390</v>
      </c>
      <c r="W42" s="13">
        <v>0</v>
      </c>
      <c r="X42" s="13">
        <f t="shared" si="0"/>
        <v>0</v>
      </c>
      <c r="Y42" s="13"/>
      <c r="Z42" s="31"/>
      <c r="AA42" s="27"/>
    </row>
    <row r="43" spans="2:27">
      <c r="B43" s="11">
        <v>33</v>
      </c>
      <c r="C43" s="1" t="s">
        <v>209</v>
      </c>
      <c r="D43" s="1" t="s">
        <v>210</v>
      </c>
      <c r="E43" s="1" t="s">
        <v>211</v>
      </c>
      <c r="F43" s="29" t="s">
        <v>38</v>
      </c>
      <c r="G43" s="11">
        <v>2023</v>
      </c>
      <c r="H43" s="16">
        <v>45291</v>
      </c>
      <c r="I43" s="16">
        <v>45657</v>
      </c>
      <c r="J43" s="11">
        <v>2975</v>
      </c>
      <c r="K43" s="12" t="s">
        <v>205</v>
      </c>
      <c r="L43" s="16">
        <v>45409</v>
      </c>
      <c r="M43" s="12" t="s">
        <v>87</v>
      </c>
      <c r="N43" s="11" t="s">
        <v>41</v>
      </c>
      <c r="O43" s="25">
        <v>630985185</v>
      </c>
      <c r="P43" s="2">
        <v>10</v>
      </c>
      <c r="Q43" s="25">
        <v>63098518.5</v>
      </c>
      <c r="R43" s="25">
        <v>36056296.285714298</v>
      </c>
      <c r="S43" s="25">
        <v>0</v>
      </c>
      <c r="T43" s="25">
        <v>20672277</v>
      </c>
      <c r="U43" s="25">
        <v>6369945.2142857015</v>
      </c>
      <c r="V43" s="13">
        <v>4134455</v>
      </c>
      <c r="W43" s="13">
        <v>818841285</v>
      </c>
      <c r="X43" s="13">
        <f t="shared" si="0"/>
        <v>163768257</v>
      </c>
      <c r="Y43" s="13"/>
      <c r="Z43" s="31"/>
      <c r="AA43" s="27"/>
    </row>
    <row r="44" spans="2:27">
      <c r="B44" s="11">
        <v>34</v>
      </c>
      <c r="C44" s="1" t="s">
        <v>212</v>
      </c>
      <c r="D44" s="1" t="s">
        <v>213</v>
      </c>
      <c r="E44" s="1" t="s">
        <v>214</v>
      </c>
      <c r="F44" s="29" t="s">
        <v>38</v>
      </c>
      <c r="G44" s="11">
        <v>2023</v>
      </c>
      <c r="H44" s="16">
        <v>45291</v>
      </c>
      <c r="I44" s="16">
        <v>45657</v>
      </c>
      <c r="J44" s="11">
        <v>2975</v>
      </c>
      <c r="K44" s="12" t="s">
        <v>205</v>
      </c>
      <c r="L44" s="16">
        <v>45409</v>
      </c>
      <c r="M44" s="12" t="s">
        <v>87</v>
      </c>
      <c r="N44" s="11" t="s">
        <v>41</v>
      </c>
      <c r="O44" s="25">
        <v>1098926554</v>
      </c>
      <c r="P44" s="2">
        <v>10</v>
      </c>
      <c r="Q44" s="25">
        <v>109892655.40000001</v>
      </c>
      <c r="R44" s="25">
        <v>62795803.0857144</v>
      </c>
      <c r="S44" s="25">
        <v>0</v>
      </c>
      <c r="T44" s="25">
        <v>36002928</v>
      </c>
      <c r="U44" s="25">
        <v>11093924.314285606</v>
      </c>
      <c r="V44" s="13">
        <v>7200585</v>
      </c>
      <c r="W44" s="13">
        <v>1732512806</v>
      </c>
      <c r="X44" s="13">
        <f t="shared" si="0"/>
        <v>346502561.20000005</v>
      </c>
      <c r="Y44" s="13"/>
      <c r="Z44" s="31"/>
      <c r="AA44" s="27"/>
    </row>
    <row r="45" spans="2:27">
      <c r="B45" s="11">
        <v>35</v>
      </c>
      <c r="C45" s="1" t="s">
        <v>215</v>
      </c>
      <c r="D45" s="1" t="s">
        <v>216</v>
      </c>
      <c r="E45" s="1" t="s">
        <v>217</v>
      </c>
      <c r="F45" s="29" t="s">
        <v>38</v>
      </c>
      <c r="G45" s="11">
        <v>2023</v>
      </c>
      <c r="H45" s="16">
        <v>45016</v>
      </c>
      <c r="I45" s="16">
        <v>45382</v>
      </c>
      <c r="J45" s="11">
        <v>28111</v>
      </c>
      <c r="K45" s="12" t="s">
        <v>218</v>
      </c>
      <c r="L45" s="16">
        <v>45030</v>
      </c>
      <c r="M45" s="12" t="s">
        <v>87</v>
      </c>
      <c r="N45" s="11" t="s">
        <v>41</v>
      </c>
      <c r="O45" s="25">
        <v>-5000000</v>
      </c>
      <c r="P45" s="2">
        <v>5</v>
      </c>
      <c r="Q45" s="25">
        <v>-250000</v>
      </c>
      <c r="R45" s="25">
        <v>-17369.7270471468</v>
      </c>
      <c r="S45" s="25">
        <v>0</v>
      </c>
      <c r="T45" s="25">
        <v>-232609</v>
      </c>
      <c r="U45" s="25">
        <v>-21.272952853207244</v>
      </c>
      <c r="V45" s="13">
        <v>-46522</v>
      </c>
      <c r="W45" s="13">
        <v>-5000000</v>
      </c>
      <c r="X45" s="13">
        <f t="shared" si="0"/>
        <v>-1000000</v>
      </c>
      <c r="Y45" s="13"/>
      <c r="Z45" s="31"/>
      <c r="AA45" s="27"/>
    </row>
    <row r="46" spans="2:27">
      <c r="B46" s="11">
        <v>36</v>
      </c>
      <c r="C46" s="1" t="s">
        <v>219</v>
      </c>
      <c r="D46" s="1" t="s">
        <v>220</v>
      </c>
      <c r="E46" s="1" t="s">
        <v>221</v>
      </c>
      <c r="F46" s="29" t="s">
        <v>38</v>
      </c>
      <c r="G46" s="11">
        <v>2023</v>
      </c>
      <c r="H46" s="16">
        <v>45046</v>
      </c>
      <c r="I46" s="16">
        <v>45412</v>
      </c>
      <c r="J46" s="11">
        <v>2071</v>
      </c>
      <c r="K46" s="12" t="s">
        <v>222</v>
      </c>
      <c r="L46" s="16">
        <v>45059</v>
      </c>
      <c r="M46" s="12" t="s">
        <v>87</v>
      </c>
      <c r="N46" s="11" t="s">
        <v>41</v>
      </c>
      <c r="O46" s="25">
        <v>3611068786.9999995</v>
      </c>
      <c r="P46" s="2">
        <v>10</v>
      </c>
      <c r="Q46" s="25">
        <v>361106878.69999999</v>
      </c>
      <c r="R46" s="25">
        <v>250548605.343638</v>
      </c>
      <c r="S46" s="25">
        <v>0</v>
      </c>
      <c r="T46" s="25">
        <v>110140693</v>
      </c>
      <c r="U46" s="25">
        <v>417580.35636198521</v>
      </c>
      <c r="V46" s="13">
        <v>22028138</v>
      </c>
      <c r="W46" s="13">
        <v>0</v>
      </c>
      <c r="X46" s="13">
        <f t="shared" si="0"/>
        <v>0</v>
      </c>
      <c r="Y46" s="13"/>
      <c r="Z46" s="31"/>
      <c r="AA46" s="27"/>
    </row>
    <row r="47" spans="2:27">
      <c r="B47" s="11">
        <v>37</v>
      </c>
      <c r="C47" s="1" t="s">
        <v>223</v>
      </c>
      <c r="D47" s="1" t="s">
        <v>224</v>
      </c>
      <c r="E47" s="1" t="s">
        <v>225</v>
      </c>
      <c r="F47" s="29" t="s">
        <v>38</v>
      </c>
      <c r="G47" s="11">
        <v>2023</v>
      </c>
      <c r="H47" s="16">
        <v>45138</v>
      </c>
      <c r="I47" s="16">
        <v>45504</v>
      </c>
      <c r="J47" s="11">
        <v>2734</v>
      </c>
      <c r="K47" s="12" t="s">
        <v>226</v>
      </c>
      <c r="L47" s="16">
        <v>45383</v>
      </c>
      <c r="M47" s="12" t="s">
        <v>87</v>
      </c>
      <c r="N47" s="11" t="s">
        <v>41</v>
      </c>
      <c r="O47" s="25">
        <v>152419730</v>
      </c>
      <c r="P47" s="2">
        <v>10</v>
      </c>
      <c r="Q47" s="25">
        <v>15241973</v>
      </c>
      <c r="R47" s="25">
        <v>6700580.8444641298</v>
      </c>
      <c r="S47" s="25">
        <v>0</v>
      </c>
      <c r="T47" s="25">
        <v>8530224</v>
      </c>
      <c r="U47" s="25">
        <v>11168.1555358693</v>
      </c>
      <c r="V47" s="13">
        <v>1706045</v>
      </c>
      <c r="W47" s="13">
        <v>0</v>
      </c>
      <c r="X47" s="13">
        <f t="shared" si="0"/>
        <v>0</v>
      </c>
      <c r="Y47" s="13"/>
      <c r="Z47" s="31"/>
      <c r="AA47" s="27"/>
    </row>
    <row r="48" spans="2:27">
      <c r="B48" s="11">
        <v>38</v>
      </c>
      <c r="C48" s="1" t="s">
        <v>227</v>
      </c>
      <c r="D48" s="1" t="s">
        <v>228</v>
      </c>
      <c r="E48" s="1" t="s">
        <v>229</v>
      </c>
      <c r="F48" s="29" t="s">
        <v>38</v>
      </c>
      <c r="G48" s="11">
        <v>2023</v>
      </c>
      <c r="H48" s="16">
        <v>45230</v>
      </c>
      <c r="I48" s="16">
        <v>45596</v>
      </c>
      <c r="J48" s="11">
        <v>2976</v>
      </c>
      <c r="K48" s="12" t="s">
        <v>230</v>
      </c>
      <c r="L48" s="16">
        <v>45544</v>
      </c>
      <c r="M48" s="12" t="s">
        <v>87</v>
      </c>
      <c r="N48" s="11" t="s">
        <v>41</v>
      </c>
      <c r="O48" s="25">
        <v>6791904</v>
      </c>
      <c r="P48" s="2">
        <v>15</v>
      </c>
      <c r="Q48" s="25">
        <v>1018785.6</v>
      </c>
      <c r="R48" s="25">
        <v>215442.803404793</v>
      </c>
      <c r="S48" s="25">
        <v>0</v>
      </c>
      <c r="T48" s="25">
        <v>801547</v>
      </c>
      <c r="U48" s="25">
        <v>1795.7965952069499</v>
      </c>
      <c r="V48" s="13">
        <v>160309</v>
      </c>
      <c r="W48" s="13">
        <v>0</v>
      </c>
      <c r="X48" s="13">
        <f t="shared" si="0"/>
        <v>0</v>
      </c>
      <c r="Y48" s="13"/>
      <c r="Z48" s="31"/>
      <c r="AA48" s="27"/>
    </row>
    <row r="49" spans="2:27">
      <c r="B49" s="11">
        <v>39</v>
      </c>
      <c r="C49" s="1" t="s">
        <v>231</v>
      </c>
      <c r="D49" s="1" t="s">
        <v>232</v>
      </c>
      <c r="E49" s="1" t="s">
        <v>233</v>
      </c>
      <c r="F49" s="29" t="s">
        <v>38</v>
      </c>
      <c r="G49" s="11">
        <v>2023</v>
      </c>
      <c r="H49" s="16">
        <v>45230</v>
      </c>
      <c r="I49" s="16">
        <v>45596</v>
      </c>
      <c r="J49" s="11">
        <v>2976</v>
      </c>
      <c r="K49" s="12" t="s">
        <v>230</v>
      </c>
      <c r="L49" s="16">
        <v>45351</v>
      </c>
      <c r="M49" s="12" t="s">
        <v>87</v>
      </c>
      <c r="N49" s="11" t="s">
        <v>41</v>
      </c>
      <c r="O49" s="25">
        <v>89802338</v>
      </c>
      <c r="P49" s="2">
        <v>15</v>
      </c>
      <c r="Q49" s="25">
        <v>13470350.699999999</v>
      </c>
      <c r="R49" s="25">
        <v>2253433.6214027898</v>
      </c>
      <c r="S49" s="25">
        <v>0</v>
      </c>
      <c r="T49" s="25">
        <v>11198139</v>
      </c>
      <c r="U49" s="25">
        <v>18778.078597210348</v>
      </c>
      <c r="V49" s="13">
        <v>2239628</v>
      </c>
      <c r="W49" s="13">
        <v>0</v>
      </c>
      <c r="X49" s="13">
        <f t="shared" si="0"/>
        <v>0</v>
      </c>
      <c r="Y49" s="13"/>
      <c r="Z49" s="31"/>
      <c r="AA49" s="27"/>
    </row>
    <row r="50" spans="2:27">
      <c r="B50" s="11">
        <v>40</v>
      </c>
      <c r="C50" s="1" t="s">
        <v>234</v>
      </c>
      <c r="D50" s="1" t="s">
        <v>235</v>
      </c>
      <c r="E50" s="1" t="s">
        <v>236</v>
      </c>
      <c r="F50" s="29" t="s">
        <v>38</v>
      </c>
      <c r="G50" s="11">
        <v>2023</v>
      </c>
      <c r="H50" s="16">
        <v>45230</v>
      </c>
      <c r="I50" s="16">
        <v>45596</v>
      </c>
      <c r="J50" s="11">
        <v>2976</v>
      </c>
      <c r="K50" s="12" t="s">
        <v>237</v>
      </c>
      <c r="L50" s="16">
        <v>45381</v>
      </c>
      <c r="M50" s="12" t="s">
        <v>87</v>
      </c>
      <c r="N50" s="11" t="s">
        <v>41</v>
      </c>
      <c r="O50" s="28">
        <v>145121898</v>
      </c>
      <c r="P50" s="2">
        <v>15</v>
      </c>
      <c r="Q50" s="25">
        <v>21768284.699999999</v>
      </c>
      <c r="R50" s="28">
        <v>12023848.844676901</v>
      </c>
      <c r="S50" s="28">
        <v>0</v>
      </c>
      <c r="T50" s="28">
        <v>9644237</v>
      </c>
      <c r="U50" s="25">
        <v>100198.8553230986</v>
      </c>
      <c r="V50" s="18">
        <v>1928847</v>
      </c>
      <c r="W50" s="13">
        <v>0</v>
      </c>
      <c r="X50" s="13">
        <f t="shared" si="0"/>
        <v>0</v>
      </c>
      <c r="Y50" s="13"/>
      <c r="Z50" s="31"/>
      <c r="AA50" s="27"/>
    </row>
    <row r="51" spans="2:27">
      <c r="B51" s="11">
        <v>41</v>
      </c>
      <c r="C51" s="1" t="s">
        <v>238</v>
      </c>
      <c r="D51" s="1" t="s">
        <v>239</v>
      </c>
      <c r="E51" s="1" t="s">
        <v>240</v>
      </c>
      <c r="F51" s="29" t="s">
        <v>38</v>
      </c>
      <c r="G51" s="11">
        <v>2023</v>
      </c>
      <c r="H51" s="16">
        <v>45291</v>
      </c>
      <c r="I51" s="16">
        <v>45657</v>
      </c>
      <c r="J51" s="11">
        <v>23002</v>
      </c>
      <c r="K51" s="12" t="s">
        <v>160</v>
      </c>
      <c r="L51" s="16">
        <v>45630</v>
      </c>
      <c r="M51" s="12" t="s">
        <v>87</v>
      </c>
      <c r="N51" s="11" t="s">
        <v>41</v>
      </c>
      <c r="O51" s="25">
        <v>1392044600</v>
      </c>
      <c r="P51" s="2">
        <v>20</v>
      </c>
      <c r="Q51" s="25">
        <v>278408920</v>
      </c>
      <c r="R51" s="25">
        <v>97413897.830651104</v>
      </c>
      <c r="S51" s="25">
        <v>0</v>
      </c>
      <c r="T51" s="25">
        <v>180751487</v>
      </c>
      <c r="U51" s="25">
        <v>243535.16934889555</v>
      </c>
      <c r="V51" s="13">
        <v>36150297</v>
      </c>
      <c r="W51" s="13">
        <v>0</v>
      </c>
      <c r="X51" s="13">
        <f t="shared" si="0"/>
        <v>0</v>
      </c>
      <c r="Y51" s="13"/>
      <c r="Z51" s="31"/>
      <c r="AA51" s="27"/>
    </row>
    <row r="52" spans="2:27">
      <c r="B52" s="11">
        <v>42</v>
      </c>
      <c r="C52" s="1" t="s">
        <v>241</v>
      </c>
      <c r="D52" s="1" t="s">
        <v>242</v>
      </c>
      <c r="E52" s="1" t="s">
        <v>243</v>
      </c>
      <c r="F52" s="29" t="s">
        <v>38</v>
      </c>
      <c r="G52" s="11">
        <v>2023</v>
      </c>
      <c r="H52" s="16">
        <v>45291</v>
      </c>
      <c r="I52" s="16">
        <v>45657</v>
      </c>
      <c r="J52" s="11">
        <v>2937</v>
      </c>
      <c r="K52" s="12" t="s">
        <v>244</v>
      </c>
      <c r="L52" s="16">
        <v>45612</v>
      </c>
      <c r="M52" s="12" t="s">
        <v>87</v>
      </c>
      <c r="N52" s="11" t="s">
        <v>41</v>
      </c>
      <c r="O52" s="25">
        <v>24358000</v>
      </c>
      <c r="P52" s="2">
        <v>20</v>
      </c>
      <c r="Q52" s="25">
        <v>4871600</v>
      </c>
      <c r="R52" s="25">
        <v>1607773.80872947</v>
      </c>
      <c r="S52" s="25">
        <v>0</v>
      </c>
      <c r="T52" s="25">
        <v>3259806</v>
      </c>
      <c r="U52" s="25">
        <v>4020.1912705302238</v>
      </c>
      <c r="V52" s="13">
        <v>651961</v>
      </c>
      <c r="W52" s="13">
        <v>24358000</v>
      </c>
      <c r="X52" s="13">
        <f t="shared" si="0"/>
        <v>4871600</v>
      </c>
      <c r="Y52" s="13"/>
      <c r="Z52" s="31"/>
      <c r="AA52" s="27"/>
    </row>
    <row r="53" spans="2:27">
      <c r="B53" s="11">
        <v>43</v>
      </c>
      <c r="C53" s="1" t="s">
        <v>245</v>
      </c>
      <c r="D53" s="1" t="s">
        <v>242</v>
      </c>
      <c r="E53" s="1" t="s">
        <v>243</v>
      </c>
      <c r="F53" s="29" t="s">
        <v>38</v>
      </c>
      <c r="G53" s="11">
        <v>2023</v>
      </c>
      <c r="H53" s="16">
        <v>45291</v>
      </c>
      <c r="I53" s="16">
        <v>45657</v>
      </c>
      <c r="J53" s="11">
        <v>23002</v>
      </c>
      <c r="K53" s="12" t="s">
        <v>246</v>
      </c>
      <c r="L53" s="16">
        <v>45653</v>
      </c>
      <c r="M53" s="12" t="s">
        <v>87</v>
      </c>
      <c r="N53" s="11" t="s">
        <v>41</v>
      </c>
      <c r="O53" s="25">
        <v>1329050</v>
      </c>
      <c r="P53" s="2">
        <v>20</v>
      </c>
      <c r="Q53" s="25">
        <v>265810</v>
      </c>
      <c r="R53" s="25">
        <v>151223.57127227201</v>
      </c>
      <c r="S53" s="25">
        <v>0</v>
      </c>
      <c r="T53" s="25">
        <v>114208</v>
      </c>
      <c r="U53" s="25">
        <v>378.42872772799456</v>
      </c>
      <c r="V53" s="13">
        <v>22842</v>
      </c>
      <c r="W53" s="13">
        <v>0</v>
      </c>
      <c r="X53" s="13">
        <f t="shared" si="0"/>
        <v>0</v>
      </c>
      <c r="Y53" s="13"/>
      <c r="Z53" s="31"/>
      <c r="AA53" s="27"/>
    </row>
    <row r="54" spans="2:27">
      <c r="B54" s="11">
        <v>44</v>
      </c>
      <c r="C54" s="1" t="s">
        <v>247</v>
      </c>
      <c r="D54" s="1" t="s">
        <v>248</v>
      </c>
      <c r="E54" s="1" t="s">
        <v>249</v>
      </c>
      <c r="F54" s="29" t="s">
        <v>38</v>
      </c>
      <c r="G54" s="11">
        <v>2023</v>
      </c>
      <c r="H54" s="16">
        <v>45291</v>
      </c>
      <c r="I54" s="16">
        <v>45657</v>
      </c>
      <c r="J54" s="11" t="s">
        <v>99</v>
      </c>
      <c r="K54" s="12" t="s">
        <v>250</v>
      </c>
      <c r="L54" s="16">
        <v>45519</v>
      </c>
      <c r="M54" s="12" t="s">
        <v>87</v>
      </c>
      <c r="N54" s="11" t="s">
        <v>41</v>
      </c>
      <c r="O54" s="25">
        <v>1100000</v>
      </c>
      <c r="P54" s="2">
        <v>10</v>
      </c>
      <c r="Q54" s="25">
        <v>110000</v>
      </c>
      <c r="R54" s="25">
        <v>39651.109884129299</v>
      </c>
      <c r="S54" s="25">
        <v>0</v>
      </c>
      <c r="T54" s="25">
        <v>70284</v>
      </c>
      <c r="U54" s="25">
        <v>64.890115870701266</v>
      </c>
      <c r="V54" s="13">
        <v>14057</v>
      </c>
      <c r="W54" s="13">
        <v>0</v>
      </c>
      <c r="X54" s="13">
        <f t="shared" si="0"/>
        <v>0</v>
      </c>
      <c r="Y54" s="13"/>
      <c r="Z54" s="31"/>
      <c r="AA54" s="27"/>
    </row>
    <row r="55" spans="2:27">
      <c r="B55" s="11">
        <v>45</v>
      </c>
      <c r="C55" s="1" t="s">
        <v>251</v>
      </c>
      <c r="D55" s="1" t="s">
        <v>252</v>
      </c>
      <c r="E55" s="1" t="s">
        <v>253</v>
      </c>
      <c r="F55" s="29" t="s">
        <v>38</v>
      </c>
      <c r="G55" s="11">
        <v>2023</v>
      </c>
      <c r="H55" s="16">
        <v>45291</v>
      </c>
      <c r="I55" s="16">
        <v>45657</v>
      </c>
      <c r="J55" s="11">
        <v>2975</v>
      </c>
      <c r="K55" s="12" t="s">
        <v>254</v>
      </c>
      <c r="L55" s="16">
        <v>45476</v>
      </c>
      <c r="M55" s="12" t="s">
        <v>87</v>
      </c>
      <c r="N55" s="11" t="s">
        <v>41</v>
      </c>
      <c r="O55" s="25">
        <v>65228272.000000007</v>
      </c>
      <c r="P55" s="2">
        <v>9</v>
      </c>
      <c r="Q55" s="25">
        <v>5870544.4800000004</v>
      </c>
      <c r="R55" s="25">
        <v>1397748.68571429</v>
      </c>
      <c r="S55" s="25">
        <v>0</v>
      </c>
      <c r="T55" s="25">
        <v>4470699</v>
      </c>
      <c r="U55" s="25">
        <v>2096.794285710901</v>
      </c>
      <c r="V55" s="13">
        <v>894140</v>
      </c>
      <c r="W55" s="13">
        <v>65248985</v>
      </c>
      <c r="X55" s="13">
        <f t="shared" si="0"/>
        <v>13049797</v>
      </c>
      <c r="Y55" s="13"/>
      <c r="Z55" s="31"/>
      <c r="AA55" s="27"/>
    </row>
    <row r="56" spans="2:27">
      <c r="B56" s="11">
        <v>46</v>
      </c>
      <c r="C56" s="1" t="s">
        <v>255</v>
      </c>
      <c r="D56" s="1" t="s">
        <v>256</v>
      </c>
      <c r="E56" s="1" t="s">
        <v>257</v>
      </c>
      <c r="F56" s="29" t="s">
        <v>38</v>
      </c>
      <c r="G56" s="11">
        <v>2023</v>
      </c>
      <c r="H56" s="16">
        <v>45291</v>
      </c>
      <c r="I56" s="16">
        <v>45657</v>
      </c>
      <c r="J56" s="11">
        <v>23002</v>
      </c>
      <c r="K56" s="12" t="s">
        <v>246</v>
      </c>
      <c r="L56" s="16">
        <v>45597</v>
      </c>
      <c r="M56" s="12" t="s">
        <v>87</v>
      </c>
      <c r="N56" s="11" t="s">
        <v>41</v>
      </c>
      <c r="O56" s="28">
        <v>35102500</v>
      </c>
      <c r="P56" s="2">
        <v>20</v>
      </c>
      <c r="Q56" s="25">
        <v>7020500</v>
      </c>
      <c r="R56" s="28">
        <v>1960485.89779392</v>
      </c>
      <c r="S56" s="28">
        <v>0</v>
      </c>
      <c r="T56" s="28">
        <v>5055113</v>
      </c>
      <c r="U56" s="25">
        <v>4901.1022060802206</v>
      </c>
      <c r="V56" s="18">
        <v>1011023</v>
      </c>
      <c r="W56" s="13">
        <v>35000000</v>
      </c>
      <c r="X56" s="13">
        <f t="shared" si="0"/>
        <v>7000000</v>
      </c>
      <c r="Y56" s="13"/>
      <c r="Z56" s="31"/>
      <c r="AA56" s="27"/>
    </row>
    <row r="57" spans="2:27">
      <c r="B57" s="11">
        <v>47</v>
      </c>
      <c r="C57" s="1" t="s">
        <v>258</v>
      </c>
      <c r="D57" s="1" t="s">
        <v>259</v>
      </c>
      <c r="E57" s="1" t="s">
        <v>260</v>
      </c>
      <c r="F57" s="29" t="s">
        <v>38</v>
      </c>
      <c r="G57" s="11">
        <v>2023</v>
      </c>
      <c r="H57" s="16">
        <v>45291</v>
      </c>
      <c r="I57" s="16">
        <v>45657</v>
      </c>
      <c r="J57" s="11">
        <v>2975</v>
      </c>
      <c r="K57" s="12" t="s">
        <v>205</v>
      </c>
      <c r="L57" s="16">
        <v>45461</v>
      </c>
      <c r="M57" s="12" t="s">
        <v>87</v>
      </c>
      <c r="N57" s="11" t="s">
        <v>41</v>
      </c>
      <c r="O57" s="28">
        <v>41422500</v>
      </c>
      <c r="P57" s="2">
        <v>10</v>
      </c>
      <c r="Q57" s="25">
        <v>4142250</v>
      </c>
      <c r="R57" s="28">
        <v>2923941.1764705898</v>
      </c>
      <c r="S57" s="28">
        <v>0</v>
      </c>
      <c r="T57" s="28">
        <v>1213436</v>
      </c>
      <c r="U57" s="25">
        <v>4872.823529410176</v>
      </c>
      <c r="V57" s="18">
        <v>242687</v>
      </c>
      <c r="W57" s="13">
        <v>0</v>
      </c>
      <c r="X57" s="13">
        <f t="shared" si="0"/>
        <v>0</v>
      </c>
      <c r="Y57" s="13"/>
      <c r="Z57" s="31"/>
      <c r="AA57" s="27"/>
    </row>
    <row r="58" spans="2:27">
      <c r="B58" s="11">
        <v>48</v>
      </c>
      <c r="C58" s="1" t="s">
        <v>261</v>
      </c>
      <c r="D58" s="1" t="s">
        <v>262</v>
      </c>
      <c r="E58" s="1" t="s">
        <v>263</v>
      </c>
      <c r="F58" s="29" t="s">
        <v>38</v>
      </c>
      <c r="G58" s="11">
        <v>2023</v>
      </c>
      <c r="H58" s="16">
        <v>45121</v>
      </c>
      <c r="I58" s="16">
        <v>45487</v>
      </c>
      <c r="J58" s="11">
        <v>2732</v>
      </c>
      <c r="K58" s="12" t="s">
        <v>264</v>
      </c>
      <c r="L58" s="16">
        <v>45431</v>
      </c>
      <c r="M58" s="12" t="s">
        <v>87</v>
      </c>
      <c r="N58" s="11" t="s">
        <v>41</v>
      </c>
      <c r="O58" s="25">
        <v>33433200</v>
      </c>
      <c r="P58" s="2">
        <v>5</v>
      </c>
      <c r="Q58" s="25">
        <v>1671660</v>
      </c>
      <c r="R58" s="25">
        <v>1008189.39993473</v>
      </c>
      <c r="S58" s="25">
        <v>0</v>
      </c>
      <c r="T58" s="25">
        <v>662900</v>
      </c>
      <c r="U58" s="25">
        <v>570.60006526997313</v>
      </c>
      <c r="V58" s="13">
        <v>132580</v>
      </c>
      <c r="W58" s="13">
        <v>0</v>
      </c>
      <c r="X58" s="13">
        <f t="shared" si="0"/>
        <v>0</v>
      </c>
      <c r="Y58" s="13"/>
      <c r="Z58" s="31"/>
      <c r="AA58" s="27"/>
    </row>
    <row r="59" spans="2:27">
      <c r="B59" s="11">
        <v>49</v>
      </c>
      <c r="C59" s="1" t="s">
        <v>265</v>
      </c>
      <c r="D59" s="1" t="s">
        <v>266</v>
      </c>
      <c r="E59" s="1" t="s">
        <v>267</v>
      </c>
      <c r="F59" s="29" t="s">
        <v>38</v>
      </c>
      <c r="G59" s="11">
        <v>2023</v>
      </c>
      <c r="H59" s="16">
        <v>45252</v>
      </c>
      <c r="I59" s="16">
        <v>45618</v>
      </c>
      <c r="J59" s="11">
        <v>2929</v>
      </c>
      <c r="K59" s="12" t="s">
        <v>268</v>
      </c>
      <c r="L59" s="16">
        <v>45254</v>
      </c>
      <c r="M59" s="12" t="s">
        <v>269</v>
      </c>
      <c r="N59" s="11" t="s">
        <v>41</v>
      </c>
      <c r="O59" s="28">
        <v>68801591.900000006</v>
      </c>
      <c r="P59" s="2">
        <v>100</v>
      </c>
      <c r="Q59" s="25">
        <v>68801591.900000006</v>
      </c>
      <c r="R59" s="28">
        <v>6111177.3993185004</v>
      </c>
      <c r="S59" s="28">
        <v>0</v>
      </c>
      <c r="T59" s="28">
        <v>2472032</v>
      </c>
      <c r="U59" s="25">
        <v>60218382.500681505</v>
      </c>
      <c r="V59" s="18">
        <v>494406</v>
      </c>
      <c r="W59" s="13">
        <v>0</v>
      </c>
      <c r="X59" s="13">
        <f t="shared" si="0"/>
        <v>0</v>
      </c>
      <c r="Y59" s="13"/>
      <c r="Z59" s="31"/>
      <c r="AA59" s="27"/>
    </row>
    <row r="60" spans="2:27">
      <c r="B60" s="11">
        <v>50</v>
      </c>
      <c r="C60" s="1" t="s">
        <v>270</v>
      </c>
      <c r="D60" s="1" t="s">
        <v>266</v>
      </c>
      <c r="E60" s="1" t="s">
        <v>267</v>
      </c>
      <c r="F60" s="29" t="s">
        <v>38</v>
      </c>
      <c r="G60" s="11">
        <v>2023</v>
      </c>
      <c r="H60" s="16">
        <v>45252</v>
      </c>
      <c r="I60" s="16">
        <v>45618</v>
      </c>
      <c r="J60" s="11">
        <v>2929</v>
      </c>
      <c r="K60" s="12" t="s">
        <v>268</v>
      </c>
      <c r="L60" s="16">
        <v>45255</v>
      </c>
      <c r="M60" s="12" t="s">
        <v>269</v>
      </c>
      <c r="N60" s="11" t="s">
        <v>41</v>
      </c>
      <c r="O60" s="25">
        <v>68801591.900000006</v>
      </c>
      <c r="P60" s="2">
        <v>100</v>
      </c>
      <c r="Q60" s="25">
        <v>68801591.900000006</v>
      </c>
      <c r="R60" s="25">
        <v>6111177.3993185004</v>
      </c>
      <c r="S60" s="25">
        <v>0</v>
      </c>
      <c r="T60" s="25">
        <v>3381813</v>
      </c>
      <c r="U60" s="25">
        <v>59308601.500681505</v>
      </c>
      <c r="V60" s="13">
        <v>676363</v>
      </c>
      <c r="W60" s="13">
        <v>0</v>
      </c>
      <c r="X60" s="13">
        <f t="shared" si="0"/>
        <v>0</v>
      </c>
      <c r="Y60" s="13"/>
      <c r="Z60" s="31"/>
      <c r="AA60" s="27"/>
    </row>
    <row r="61" spans="2:27">
      <c r="B61" s="11">
        <v>51</v>
      </c>
      <c r="C61" s="1" t="s">
        <v>271</v>
      </c>
      <c r="D61" s="1" t="s">
        <v>266</v>
      </c>
      <c r="E61" s="1" t="s">
        <v>267</v>
      </c>
      <c r="F61" s="29" t="s">
        <v>38</v>
      </c>
      <c r="G61" s="11">
        <v>2023</v>
      </c>
      <c r="H61" s="16">
        <v>45252</v>
      </c>
      <c r="I61" s="16">
        <v>45618</v>
      </c>
      <c r="J61" s="11">
        <v>2929</v>
      </c>
      <c r="K61" s="12" t="s">
        <v>268</v>
      </c>
      <c r="L61" s="16">
        <v>45259</v>
      </c>
      <c r="M61" s="12" t="s">
        <v>269</v>
      </c>
      <c r="N61" s="11" t="s">
        <v>41</v>
      </c>
      <c r="O61" s="25">
        <v>9339261.0500000007</v>
      </c>
      <c r="P61" s="2">
        <v>100</v>
      </c>
      <c r="Q61" s="25">
        <v>9339261.0500000007</v>
      </c>
      <c r="R61" s="25">
        <v>3471058.2305626902</v>
      </c>
      <c r="S61" s="25">
        <v>0</v>
      </c>
      <c r="T61" s="25">
        <v>1516950</v>
      </c>
      <c r="U61" s="25">
        <v>4351252.8194373101</v>
      </c>
      <c r="V61" s="13">
        <v>303390</v>
      </c>
      <c r="W61" s="13">
        <v>0</v>
      </c>
      <c r="X61" s="13">
        <f t="shared" si="0"/>
        <v>0</v>
      </c>
      <c r="Y61" s="13"/>
      <c r="Z61" s="31"/>
      <c r="AA61" s="27"/>
    </row>
    <row r="62" spans="2:27">
      <c r="B62" s="11">
        <v>52</v>
      </c>
      <c r="C62" s="1" t="s">
        <v>272</v>
      </c>
      <c r="D62" s="1" t="s">
        <v>266</v>
      </c>
      <c r="E62" s="1" t="s">
        <v>267</v>
      </c>
      <c r="F62" s="29" t="s">
        <v>38</v>
      </c>
      <c r="G62" s="11">
        <v>2023</v>
      </c>
      <c r="H62" s="16">
        <v>45252</v>
      </c>
      <c r="I62" s="16">
        <v>45618</v>
      </c>
      <c r="J62" s="11">
        <v>2929</v>
      </c>
      <c r="K62" s="12" t="s">
        <v>268</v>
      </c>
      <c r="L62" s="16">
        <v>45261</v>
      </c>
      <c r="M62" s="12" t="s">
        <v>269</v>
      </c>
      <c r="N62" s="11" t="s">
        <v>41</v>
      </c>
      <c r="O62" s="25">
        <v>68801591.900000006</v>
      </c>
      <c r="P62" s="2">
        <v>100</v>
      </c>
      <c r="Q62" s="25">
        <v>68801591.900000006</v>
      </c>
      <c r="R62" s="25">
        <v>6111177.3993185004</v>
      </c>
      <c r="S62" s="25">
        <v>0</v>
      </c>
      <c r="T62" s="25">
        <v>1485318</v>
      </c>
      <c r="U62" s="25">
        <v>61205096.500681505</v>
      </c>
      <c r="V62" s="13">
        <v>297064</v>
      </c>
      <c r="W62" s="13">
        <v>0</v>
      </c>
      <c r="X62" s="13">
        <f t="shared" si="0"/>
        <v>0</v>
      </c>
      <c r="Y62" s="13"/>
      <c r="Z62" s="31"/>
      <c r="AA62" s="27"/>
    </row>
    <row r="63" spans="2:27">
      <c r="B63" s="11">
        <v>53</v>
      </c>
      <c r="C63" s="1" t="s">
        <v>273</v>
      </c>
      <c r="D63" s="1" t="s">
        <v>266</v>
      </c>
      <c r="E63" s="1" t="s">
        <v>267</v>
      </c>
      <c r="F63" s="29" t="s">
        <v>38</v>
      </c>
      <c r="G63" s="11">
        <v>2023</v>
      </c>
      <c r="H63" s="16">
        <v>45252</v>
      </c>
      <c r="I63" s="16">
        <v>45618</v>
      </c>
      <c r="J63" s="11">
        <v>2929</v>
      </c>
      <c r="K63" s="12" t="s">
        <v>268</v>
      </c>
      <c r="L63" s="16">
        <v>45265</v>
      </c>
      <c r="M63" s="12" t="s">
        <v>269</v>
      </c>
      <c r="N63" s="11" t="s">
        <v>41</v>
      </c>
      <c r="O63" s="25">
        <v>68801591.900000006</v>
      </c>
      <c r="P63" s="2">
        <v>100</v>
      </c>
      <c r="Q63" s="25">
        <v>68801591.900000006</v>
      </c>
      <c r="R63" s="25">
        <v>6111177.3993185004</v>
      </c>
      <c r="S63" s="25">
        <v>0</v>
      </c>
      <c r="T63" s="25">
        <v>2147</v>
      </c>
      <c r="U63" s="25">
        <v>62688267.500681505</v>
      </c>
      <c r="V63" s="13">
        <v>429</v>
      </c>
      <c r="W63" s="13">
        <v>0</v>
      </c>
      <c r="X63" s="13">
        <f t="shared" si="0"/>
        <v>0</v>
      </c>
      <c r="Y63" s="13"/>
      <c r="Z63" s="31"/>
      <c r="AA63" s="27"/>
    </row>
    <row r="64" spans="2:27">
      <c r="B64" s="11">
        <v>54</v>
      </c>
      <c r="C64" s="1" t="s">
        <v>274</v>
      </c>
      <c r="D64" s="1" t="s">
        <v>266</v>
      </c>
      <c r="E64" s="1" t="s">
        <v>267</v>
      </c>
      <c r="F64" s="29" t="s">
        <v>38</v>
      </c>
      <c r="G64" s="11">
        <v>2023</v>
      </c>
      <c r="H64" s="16">
        <v>45252</v>
      </c>
      <c r="I64" s="16">
        <v>45618</v>
      </c>
      <c r="J64" s="11">
        <v>2929</v>
      </c>
      <c r="K64" s="12" t="s">
        <v>268</v>
      </c>
      <c r="L64" s="16">
        <v>45266</v>
      </c>
      <c r="M64" s="12" t="s">
        <v>269</v>
      </c>
      <c r="N64" s="11" t="s">
        <v>41</v>
      </c>
      <c r="O64" s="28">
        <v>10526667.65</v>
      </c>
      <c r="P64" s="2">
        <v>100</v>
      </c>
      <c r="Q64" s="25">
        <v>10526667.65</v>
      </c>
      <c r="R64" s="28">
        <v>1581069.0678453101</v>
      </c>
      <c r="S64" s="28">
        <v>0</v>
      </c>
      <c r="T64" s="28">
        <v>5780811</v>
      </c>
      <c r="U64" s="25">
        <v>3164787.5821546912</v>
      </c>
      <c r="V64" s="18">
        <v>1156162</v>
      </c>
      <c r="W64" s="13">
        <v>136050573</v>
      </c>
      <c r="X64" s="13">
        <f t="shared" si="0"/>
        <v>27210114.600000001</v>
      </c>
      <c r="Y64" s="13"/>
      <c r="Z64" s="31"/>
      <c r="AA64" s="27"/>
    </row>
    <row r="65" spans="2:27">
      <c r="B65" s="11">
        <v>55</v>
      </c>
      <c r="C65" s="1" t="s">
        <v>275</v>
      </c>
      <c r="D65" s="1" t="s">
        <v>266</v>
      </c>
      <c r="E65" s="1" t="s">
        <v>267</v>
      </c>
      <c r="F65" s="29" t="s">
        <v>38</v>
      </c>
      <c r="G65" s="11">
        <v>2023</v>
      </c>
      <c r="H65" s="16">
        <v>45252</v>
      </c>
      <c r="I65" s="16">
        <v>45618</v>
      </c>
      <c r="J65" s="11">
        <v>2929</v>
      </c>
      <c r="K65" s="12" t="s">
        <v>268</v>
      </c>
      <c r="L65" s="16">
        <v>45267</v>
      </c>
      <c r="M65" s="12" t="s">
        <v>269</v>
      </c>
      <c r="N65" s="11" t="s">
        <v>41</v>
      </c>
      <c r="O65" s="25">
        <v>32124700.899999999</v>
      </c>
      <c r="P65" s="2">
        <v>100</v>
      </c>
      <c r="Q65" s="25">
        <v>32124700.899999999</v>
      </c>
      <c r="R65" s="25">
        <v>5687147.9729585899</v>
      </c>
      <c r="S65" s="25">
        <v>0</v>
      </c>
      <c r="T65" s="25">
        <v>2103392</v>
      </c>
      <c r="U65" s="25">
        <v>24334160.927041408</v>
      </c>
      <c r="V65" s="13">
        <v>420678</v>
      </c>
      <c r="W65" s="13">
        <v>0</v>
      </c>
      <c r="X65" s="13">
        <f t="shared" si="0"/>
        <v>0</v>
      </c>
      <c r="Y65" s="13"/>
      <c r="Z65" s="31"/>
      <c r="AA65" s="27"/>
    </row>
    <row r="66" spans="2:27">
      <c r="B66" s="11">
        <v>56</v>
      </c>
      <c r="C66" s="1" t="s">
        <v>276</v>
      </c>
      <c r="D66" s="1" t="s">
        <v>266</v>
      </c>
      <c r="E66" s="1" t="s">
        <v>267</v>
      </c>
      <c r="F66" s="29" t="s">
        <v>38</v>
      </c>
      <c r="G66" s="11">
        <v>2023</v>
      </c>
      <c r="H66" s="16">
        <v>45252</v>
      </c>
      <c r="I66" s="16">
        <v>45618</v>
      </c>
      <c r="J66" s="11">
        <v>2929</v>
      </c>
      <c r="K66" s="12" t="s">
        <v>268</v>
      </c>
      <c r="L66" s="16">
        <v>45272</v>
      </c>
      <c r="M66" s="12" t="s">
        <v>269</v>
      </c>
      <c r="N66" s="11" t="s">
        <v>41</v>
      </c>
      <c r="O66" s="25">
        <v>32124700.899999999</v>
      </c>
      <c r="P66" s="2">
        <v>100</v>
      </c>
      <c r="Q66" s="25">
        <v>32124700.899999999</v>
      </c>
      <c r="R66" s="25">
        <v>5687147.9729585899</v>
      </c>
      <c r="S66" s="25">
        <v>0</v>
      </c>
      <c r="T66" s="25">
        <v>2270169</v>
      </c>
      <c r="U66" s="25">
        <v>24167383.927041408</v>
      </c>
      <c r="V66" s="13">
        <v>454034</v>
      </c>
      <c r="W66" s="13">
        <v>0</v>
      </c>
      <c r="X66" s="13">
        <f t="shared" si="0"/>
        <v>0</v>
      </c>
      <c r="Y66" s="13"/>
      <c r="Z66" s="31"/>
      <c r="AA66" s="27"/>
    </row>
    <row r="67" spans="2:27">
      <c r="B67" s="11">
        <v>57</v>
      </c>
      <c r="C67" s="1" t="s">
        <v>277</v>
      </c>
      <c r="D67" s="1" t="s">
        <v>266</v>
      </c>
      <c r="E67" s="1" t="s">
        <v>267</v>
      </c>
      <c r="F67" s="29" t="s">
        <v>38</v>
      </c>
      <c r="G67" s="11">
        <v>2023</v>
      </c>
      <c r="H67" s="16">
        <v>45252</v>
      </c>
      <c r="I67" s="16">
        <v>45618</v>
      </c>
      <c r="J67" s="11">
        <v>2929</v>
      </c>
      <c r="K67" s="12" t="s">
        <v>268</v>
      </c>
      <c r="L67" s="16">
        <v>45272</v>
      </c>
      <c r="M67" s="12" t="s">
        <v>269</v>
      </c>
      <c r="N67" s="11" t="s">
        <v>41</v>
      </c>
      <c r="O67" s="25">
        <v>32124700.899999999</v>
      </c>
      <c r="P67" s="2">
        <v>100</v>
      </c>
      <c r="Q67" s="25">
        <v>32124700.899999999</v>
      </c>
      <c r="R67" s="25">
        <v>5687147.9729585899</v>
      </c>
      <c r="S67" s="25">
        <v>0</v>
      </c>
      <c r="T67" s="25">
        <v>1769028</v>
      </c>
      <c r="U67" s="25">
        <v>24668524.927041408</v>
      </c>
      <c r="V67" s="13">
        <v>353805</v>
      </c>
      <c r="W67" s="13">
        <v>0</v>
      </c>
      <c r="X67" s="13">
        <f t="shared" si="0"/>
        <v>0</v>
      </c>
      <c r="Y67" s="13"/>
      <c r="Z67" s="31"/>
      <c r="AA67" s="27"/>
    </row>
    <row r="68" spans="2:27">
      <c r="B68" s="11">
        <v>58</v>
      </c>
      <c r="C68" s="1" t="s">
        <v>278</v>
      </c>
      <c r="D68" s="1" t="s">
        <v>266</v>
      </c>
      <c r="E68" s="1" t="s">
        <v>267</v>
      </c>
      <c r="F68" s="29" t="s">
        <v>38</v>
      </c>
      <c r="G68" s="11">
        <v>2023</v>
      </c>
      <c r="H68" s="16">
        <v>45252</v>
      </c>
      <c r="I68" s="16">
        <v>45618</v>
      </c>
      <c r="J68" s="11">
        <v>2929</v>
      </c>
      <c r="K68" s="12" t="s">
        <v>268</v>
      </c>
      <c r="L68" s="16">
        <v>45272</v>
      </c>
      <c r="M68" s="12" t="s">
        <v>269</v>
      </c>
      <c r="N68" s="11" t="s">
        <v>41</v>
      </c>
      <c r="O68" s="25">
        <v>32124700.899999999</v>
      </c>
      <c r="P68" s="2">
        <v>100</v>
      </c>
      <c r="Q68" s="25">
        <v>32124700.899999999</v>
      </c>
      <c r="R68" s="25">
        <v>5687147.9729585899</v>
      </c>
      <c r="S68" s="25">
        <v>0</v>
      </c>
      <c r="T68" s="25">
        <v>86346</v>
      </c>
      <c r="U68" s="25">
        <v>26351206.927041408</v>
      </c>
      <c r="V68" s="13">
        <v>17269</v>
      </c>
      <c r="W68" s="13">
        <v>0</v>
      </c>
      <c r="X68" s="13">
        <f t="shared" si="0"/>
        <v>0</v>
      </c>
      <c r="Y68" s="13"/>
      <c r="Z68" s="31"/>
      <c r="AA68" s="27"/>
    </row>
    <row r="69" spans="2:27">
      <c r="B69" s="11">
        <v>59</v>
      </c>
      <c r="C69" s="1" t="s">
        <v>279</v>
      </c>
      <c r="D69" s="1" t="s">
        <v>266</v>
      </c>
      <c r="E69" s="1" t="s">
        <v>267</v>
      </c>
      <c r="F69" s="29" t="s">
        <v>38</v>
      </c>
      <c r="G69" s="11">
        <v>2023</v>
      </c>
      <c r="H69" s="16">
        <v>45252</v>
      </c>
      <c r="I69" s="16">
        <v>45618</v>
      </c>
      <c r="J69" s="11">
        <v>2929</v>
      </c>
      <c r="K69" s="12" t="s">
        <v>268</v>
      </c>
      <c r="L69" s="16">
        <v>45274</v>
      </c>
      <c r="M69" s="12" t="s">
        <v>269</v>
      </c>
      <c r="N69" s="11" t="s">
        <v>41</v>
      </c>
      <c r="O69" s="25">
        <v>1828835.55</v>
      </c>
      <c r="P69" s="2">
        <v>100</v>
      </c>
      <c r="Q69" s="25">
        <v>1828835.55</v>
      </c>
      <c r="R69" s="25">
        <v>610213.25243127299</v>
      </c>
      <c r="S69" s="25">
        <v>0</v>
      </c>
      <c r="T69" s="25">
        <v>1218621</v>
      </c>
      <c r="U69" s="25">
        <v>1.2975687270518392</v>
      </c>
      <c r="V69" s="13">
        <v>243724</v>
      </c>
      <c r="W69" s="13">
        <v>36576711</v>
      </c>
      <c r="X69" s="13">
        <f t="shared" si="0"/>
        <v>7315342.2000000002</v>
      </c>
      <c r="Y69" s="13"/>
      <c r="Z69" s="31"/>
      <c r="AA69" s="27"/>
    </row>
    <row r="70" spans="2:27">
      <c r="B70" s="11">
        <v>60</v>
      </c>
      <c r="C70" s="1" t="s">
        <v>280</v>
      </c>
      <c r="D70" s="1" t="s">
        <v>266</v>
      </c>
      <c r="E70" s="1" t="s">
        <v>267</v>
      </c>
      <c r="F70" s="29" t="s">
        <v>38</v>
      </c>
      <c r="G70" s="11">
        <v>2023</v>
      </c>
      <c r="H70" s="16">
        <v>45252</v>
      </c>
      <c r="I70" s="16">
        <v>45618</v>
      </c>
      <c r="J70" s="11">
        <v>2929</v>
      </c>
      <c r="K70" s="12" t="s">
        <v>268</v>
      </c>
      <c r="L70" s="16">
        <v>45275</v>
      </c>
      <c r="M70" s="12" t="s">
        <v>269</v>
      </c>
      <c r="N70" s="11" t="s">
        <v>41</v>
      </c>
      <c r="O70" s="25">
        <v>68801591.900000006</v>
      </c>
      <c r="P70" s="2">
        <v>100</v>
      </c>
      <c r="Q70" s="25">
        <v>68801591.900000006</v>
      </c>
      <c r="R70" s="25">
        <v>6111177.3993185004</v>
      </c>
      <c r="S70" s="25">
        <v>0</v>
      </c>
      <c r="T70" s="25">
        <v>2696792</v>
      </c>
      <c r="U70" s="25">
        <v>59993622.500681505</v>
      </c>
      <c r="V70" s="13">
        <v>539358</v>
      </c>
      <c r="W70" s="13">
        <v>0</v>
      </c>
      <c r="X70" s="13">
        <f t="shared" si="0"/>
        <v>0</v>
      </c>
      <c r="Y70" s="13"/>
      <c r="Z70" s="31"/>
      <c r="AA70" s="27"/>
    </row>
    <row r="71" spans="2:27">
      <c r="B71" s="11">
        <v>61</v>
      </c>
      <c r="C71" s="1" t="s">
        <v>281</v>
      </c>
      <c r="D71" s="1" t="s">
        <v>266</v>
      </c>
      <c r="E71" s="1" t="s">
        <v>267</v>
      </c>
      <c r="F71" s="29" t="s">
        <v>38</v>
      </c>
      <c r="G71" s="11">
        <v>2023</v>
      </c>
      <c r="H71" s="16">
        <v>45252</v>
      </c>
      <c r="I71" s="16">
        <v>45618</v>
      </c>
      <c r="J71" s="11">
        <v>2929</v>
      </c>
      <c r="K71" s="12" t="s">
        <v>268</v>
      </c>
      <c r="L71" s="16">
        <v>45283</v>
      </c>
      <c r="M71" s="12" t="s">
        <v>269</v>
      </c>
      <c r="N71" s="11" t="s">
        <v>41</v>
      </c>
      <c r="O71" s="25">
        <v>32124700.899999999</v>
      </c>
      <c r="P71" s="2">
        <v>100</v>
      </c>
      <c r="Q71" s="25">
        <v>32124700.899999999</v>
      </c>
      <c r="R71" s="25">
        <v>5687147.9729585899</v>
      </c>
      <c r="S71" s="25">
        <v>0</v>
      </c>
      <c r="T71" s="25">
        <v>4603000</v>
      </c>
      <c r="U71" s="25">
        <v>21834552.927041408</v>
      </c>
      <c r="V71" s="13">
        <v>920600</v>
      </c>
      <c r="W71" s="13">
        <v>111863616</v>
      </c>
      <c r="X71" s="13">
        <f t="shared" si="0"/>
        <v>22372723.200000003</v>
      </c>
      <c r="Y71" s="13"/>
      <c r="Z71" s="31"/>
      <c r="AA71" s="27"/>
    </row>
    <row r="72" spans="2:27">
      <c r="B72" s="11">
        <v>62</v>
      </c>
      <c r="C72" s="1" t="s">
        <v>282</v>
      </c>
      <c r="D72" s="1" t="s">
        <v>266</v>
      </c>
      <c r="E72" s="1" t="s">
        <v>267</v>
      </c>
      <c r="F72" s="29" t="s">
        <v>38</v>
      </c>
      <c r="G72" s="11">
        <v>2023</v>
      </c>
      <c r="H72" s="16">
        <v>45252</v>
      </c>
      <c r="I72" s="16">
        <v>45618</v>
      </c>
      <c r="J72" s="11">
        <v>2929</v>
      </c>
      <c r="K72" s="12" t="s">
        <v>268</v>
      </c>
      <c r="L72" s="16">
        <v>45288</v>
      </c>
      <c r="M72" s="12" t="s">
        <v>269</v>
      </c>
      <c r="N72" s="11" t="s">
        <v>41</v>
      </c>
      <c r="O72" s="25">
        <v>32124700.899999999</v>
      </c>
      <c r="P72" s="2">
        <v>100</v>
      </c>
      <c r="Q72" s="25">
        <v>32124700.899999999</v>
      </c>
      <c r="R72" s="25">
        <v>5687147.9729585899</v>
      </c>
      <c r="S72" s="25">
        <v>0</v>
      </c>
      <c r="T72" s="25">
        <v>6026686</v>
      </c>
      <c r="U72" s="25">
        <v>20410866.927041408</v>
      </c>
      <c r="V72" s="13">
        <v>1205337</v>
      </c>
      <c r="W72" s="13">
        <v>0</v>
      </c>
      <c r="X72" s="13">
        <f t="shared" si="0"/>
        <v>0</v>
      </c>
      <c r="Y72" s="13"/>
      <c r="Z72" s="31"/>
      <c r="AA72" s="27"/>
    </row>
    <row r="73" spans="2:27">
      <c r="B73" s="11">
        <v>63</v>
      </c>
      <c r="C73" s="1" t="s">
        <v>283</v>
      </c>
      <c r="D73" s="1" t="s">
        <v>266</v>
      </c>
      <c r="E73" s="1" t="s">
        <v>267</v>
      </c>
      <c r="F73" s="29" t="s">
        <v>38</v>
      </c>
      <c r="G73" s="11">
        <v>2023</v>
      </c>
      <c r="H73" s="16">
        <v>45252</v>
      </c>
      <c r="I73" s="16">
        <v>45618</v>
      </c>
      <c r="J73" s="11">
        <v>2929</v>
      </c>
      <c r="K73" s="12" t="s">
        <v>268</v>
      </c>
      <c r="L73" s="16">
        <v>45288</v>
      </c>
      <c r="M73" s="12" t="s">
        <v>269</v>
      </c>
      <c r="N73" s="11" t="s">
        <v>41</v>
      </c>
      <c r="O73" s="25">
        <v>68801591.900000006</v>
      </c>
      <c r="P73" s="2">
        <v>100</v>
      </c>
      <c r="Q73" s="25">
        <v>68801591.900000006</v>
      </c>
      <c r="R73" s="25">
        <v>6111177.3993185004</v>
      </c>
      <c r="S73" s="25">
        <v>0</v>
      </c>
      <c r="T73" s="25">
        <v>6949054</v>
      </c>
      <c r="U73" s="25">
        <v>55741360.500681505</v>
      </c>
      <c r="V73" s="13">
        <v>1389811</v>
      </c>
      <c r="W73" s="13">
        <v>152529200</v>
      </c>
      <c r="X73" s="13">
        <f t="shared" si="0"/>
        <v>30505840</v>
      </c>
      <c r="Y73" s="13"/>
      <c r="Z73" s="31"/>
      <c r="AA73" s="27"/>
    </row>
    <row r="74" spans="2:27">
      <c r="B74" s="11">
        <v>64</v>
      </c>
      <c r="C74" s="1" t="s">
        <v>284</v>
      </c>
      <c r="D74" s="1" t="s">
        <v>266</v>
      </c>
      <c r="E74" s="1" t="s">
        <v>267</v>
      </c>
      <c r="F74" s="29" t="s">
        <v>38</v>
      </c>
      <c r="G74" s="11">
        <v>2023</v>
      </c>
      <c r="H74" s="16">
        <v>45252</v>
      </c>
      <c r="I74" s="16">
        <v>45618</v>
      </c>
      <c r="J74" s="11">
        <v>2929</v>
      </c>
      <c r="K74" s="12" t="s">
        <v>268</v>
      </c>
      <c r="L74" s="16">
        <v>45288</v>
      </c>
      <c r="M74" s="12" t="s">
        <v>269</v>
      </c>
      <c r="N74" s="11" t="s">
        <v>41</v>
      </c>
      <c r="O74" s="25">
        <v>68801591.900000006</v>
      </c>
      <c r="P74" s="2">
        <v>100</v>
      </c>
      <c r="Q74" s="25">
        <v>68801591.900000006</v>
      </c>
      <c r="R74" s="25">
        <v>6111177.3993185004</v>
      </c>
      <c r="S74" s="25">
        <v>0</v>
      </c>
      <c r="T74" s="25">
        <v>5459414</v>
      </c>
      <c r="U74" s="25">
        <v>57231000.500681505</v>
      </c>
      <c r="V74" s="13">
        <v>1091883</v>
      </c>
      <c r="W74" s="13">
        <v>119832169</v>
      </c>
      <c r="X74" s="13">
        <f t="shared" si="0"/>
        <v>23966433.800000001</v>
      </c>
      <c r="Y74" s="13"/>
      <c r="Z74" s="31"/>
      <c r="AA74" s="27"/>
    </row>
    <row r="75" spans="2:27">
      <c r="B75" s="11">
        <v>65</v>
      </c>
      <c r="C75" s="1" t="s">
        <v>285</v>
      </c>
      <c r="D75" s="1" t="s">
        <v>266</v>
      </c>
      <c r="E75" s="1" t="s">
        <v>267</v>
      </c>
      <c r="F75" s="29" t="s">
        <v>38</v>
      </c>
      <c r="G75" s="11">
        <v>2023</v>
      </c>
      <c r="H75" s="16">
        <v>45252</v>
      </c>
      <c r="I75" s="16">
        <v>45618</v>
      </c>
      <c r="J75" s="11">
        <v>2929</v>
      </c>
      <c r="K75" s="12" t="s">
        <v>268</v>
      </c>
      <c r="L75" s="16">
        <v>45294</v>
      </c>
      <c r="M75" s="12" t="s">
        <v>269</v>
      </c>
      <c r="N75" s="11" t="s">
        <v>41</v>
      </c>
      <c r="O75" s="25">
        <v>68801591.900000006</v>
      </c>
      <c r="P75" s="2">
        <v>100</v>
      </c>
      <c r="Q75" s="25">
        <v>68801591.900000006</v>
      </c>
      <c r="R75" s="25">
        <v>6111177.3993185004</v>
      </c>
      <c r="S75" s="25">
        <v>0</v>
      </c>
      <c r="T75" s="25">
        <v>1488677</v>
      </c>
      <c r="U75" s="25">
        <v>61201737.500681505</v>
      </c>
      <c r="V75" s="13">
        <v>297735</v>
      </c>
      <c r="W75" s="13">
        <v>0</v>
      </c>
      <c r="X75" s="13">
        <f t="shared" ref="X75:X99" si="1">W75*20%</f>
        <v>0</v>
      </c>
      <c r="Y75" s="13"/>
      <c r="Z75" s="31"/>
      <c r="AA75" s="27"/>
    </row>
    <row r="76" spans="2:27">
      <c r="B76" s="11">
        <v>66</v>
      </c>
      <c r="C76" s="1" t="s">
        <v>286</v>
      </c>
      <c r="D76" s="1" t="s">
        <v>266</v>
      </c>
      <c r="E76" s="1" t="s">
        <v>267</v>
      </c>
      <c r="F76" s="29" t="s">
        <v>38</v>
      </c>
      <c r="G76" s="11">
        <v>2023</v>
      </c>
      <c r="H76" s="16">
        <v>45252</v>
      </c>
      <c r="I76" s="16">
        <v>45618</v>
      </c>
      <c r="J76" s="11">
        <v>2929</v>
      </c>
      <c r="K76" s="12" t="s">
        <v>268</v>
      </c>
      <c r="L76" s="16">
        <v>45295</v>
      </c>
      <c r="M76" s="12" t="s">
        <v>269</v>
      </c>
      <c r="N76" s="11" t="s">
        <v>41</v>
      </c>
      <c r="O76" s="25">
        <v>68801591.900000006</v>
      </c>
      <c r="P76" s="2">
        <v>100</v>
      </c>
      <c r="Q76" s="25">
        <v>68801591.900000006</v>
      </c>
      <c r="R76" s="25">
        <v>6111177.3993185004</v>
      </c>
      <c r="S76" s="25">
        <v>0</v>
      </c>
      <c r="T76" s="25">
        <v>2642068</v>
      </c>
      <c r="U76" s="25">
        <v>60048346.500681505</v>
      </c>
      <c r="V76" s="13">
        <v>528414</v>
      </c>
      <c r="W76" s="13">
        <v>0</v>
      </c>
      <c r="X76" s="13">
        <f t="shared" si="1"/>
        <v>0</v>
      </c>
      <c r="Y76" s="13"/>
      <c r="Z76" s="31"/>
      <c r="AA76" s="27"/>
    </row>
    <row r="77" spans="2:27">
      <c r="B77" s="11">
        <v>67</v>
      </c>
      <c r="C77" s="1" t="s">
        <v>287</v>
      </c>
      <c r="D77" s="1" t="s">
        <v>266</v>
      </c>
      <c r="E77" s="1" t="s">
        <v>267</v>
      </c>
      <c r="F77" s="29" t="s">
        <v>38</v>
      </c>
      <c r="G77" s="11">
        <v>2023</v>
      </c>
      <c r="H77" s="16">
        <v>45252</v>
      </c>
      <c r="I77" s="16">
        <v>45618</v>
      </c>
      <c r="J77" s="11">
        <v>2929</v>
      </c>
      <c r="K77" s="12" t="s">
        <v>268</v>
      </c>
      <c r="L77" s="16">
        <v>45299</v>
      </c>
      <c r="M77" s="12" t="s">
        <v>269</v>
      </c>
      <c r="N77" s="11" t="s">
        <v>41</v>
      </c>
      <c r="O77" s="25">
        <v>9339261.0500000007</v>
      </c>
      <c r="P77" s="2">
        <v>100</v>
      </c>
      <c r="Q77" s="25">
        <v>9339261.0500000007</v>
      </c>
      <c r="R77" s="25">
        <v>3471058.2305626902</v>
      </c>
      <c r="S77" s="25">
        <v>0</v>
      </c>
      <c r="T77" s="25">
        <v>1787321</v>
      </c>
      <c r="U77" s="25">
        <v>4080881.8194373101</v>
      </c>
      <c r="V77" s="13">
        <v>357464</v>
      </c>
      <c r="W77" s="13">
        <v>0</v>
      </c>
      <c r="X77" s="13">
        <f t="shared" si="1"/>
        <v>0</v>
      </c>
      <c r="Y77" s="13"/>
      <c r="Z77" s="31"/>
      <c r="AA77" s="27"/>
    </row>
    <row r="78" spans="2:27">
      <c r="B78" s="11">
        <v>68</v>
      </c>
      <c r="C78" s="1" t="s">
        <v>288</v>
      </c>
      <c r="D78" s="1" t="s">
        <v>266</v>
      </c>
      <c r="E78" s="1" t="s">
        <v>267</v>
      </c>
      <c r="F78" s="29" t="s">
        <v>38</v>
      </c>
      <c r="G78" s="11">
        <v>2023</v>
      </c>
      <c r="H78" s="16">
        <v>45252</v>
      </c>
      <c r="I78" s="16">
        <v>45618</v>
      </c>
      <c r="J78" s="11">
        <v>2929</v>
      </c>
      <c r="K78" s="12" t="s">
        <v>268</v>
      </c>
      <c r="L78" s="16">
        <v>45301</v>
      </c>
      <c r="M78" s="12" t="s">
        <v>269</v>
      </c>
      <c r="N78" s="11" t="s">
        <v>41</v>
      </c>
      <c r="O78" s="25">
        <v>2141683.7999999998</v>
      </c>
      <c r="P78" s="2">
        <v>100</v>
      </c>
      <c r="Q78" s="25">
        <v>2141683.7999999998</v>
      </c>
      <c r="R78" s="25">
        <v>174831.330612249</v>
      </c>
      <c r="S78" s="25">
        <v>0</v>
      </c>
      <c r="T78" s="25">
        <v>1966852</v>
      </c>
      <c r="U78" s="25">
        <v>0.46938775083981454</v>
      </c>
      <c r="V78" s="13">
        <v>393370</v>
      </c>
      <c r="W78" s="13">
        <v>0</v>
      </c>
      <c r="X78" s="13">
        <f t="shared" si="1"/>
        <v>0</v>
      </c>
      <c r="Y78" s="13"/>
      <c r="Z78" s="31"/>
      <c r="AA78" s="27"/>
    </row>
    <row r="79" spans="2:27">
      <c r="B79" s="11">
        <v>69</v>
      </c>
      <c r="C79" s="1" t="s">
        <v>289</v>
      </c>
      <c r="D79" s="1" t="s">
        <v>266</v>
      </c>
      <c r="E79" s="1" t="s">
        <v>267</v>
      </c>
      <c r="F79" s="29" t="s">
        <v>38</v>
      </c>
      <c r="G79" s="11">
        <v>2023</v>
      </c>
      <c r="H79" s="16">
        <v>45252</v>
      </c>
      <c r="I79" s="16">
        <v>45618</v>
      </c>
      <c r="J79" s="11">
        <v>2929</v>
      </c>
      <c r="K79" s="12" t="s">
        <v>268</v>
      </c>
      <c r="L79" s="16">
        <v>45301</v>
      </c>
      <c r="M79" s="12" t="s">
        <v>269</v>
      </c>
      <c r="N79" s="11" t="s">
        <v>41</v>
      </c>
      <c r="O79" s="25">
        <v>68801591.900000006</v>
      </c>
      <c r="P79" s="2">
        <v>100</v>
      </c>
      <c r="Q79" s="25">
        <v>68801591.900000006</v>
      </c>
      <c r="R79" s="25">
        <v>6111177.3993185004</v>
      </c>
      <c r="S79" s="25">
        <v>0</v>
      </c>
      <c r="T79" s="25">
        <v>6256577</v>
      </c>
      <c r="U79" s="25">
        <v>56433837.500681505</v>
      </c>
      <c r="V79" s="13">
        <v>1251315</v>
      </c>
      <c r="W79" s="13">
        <v>137329590</v>
      </c>
      <c r="X79" s="13">
        <f t="shared" si="1"/>
        <v>27465918</v>
      </c>
      <c r="Y79" s="13"/>
      <c r="Z79" s="31"/>
      <c r="AA79" s="27"/>
    </row>
    <row r="80" spans="2:27">
      <c r="B80" s="11">
        <v>70</v>
      </c>
      <c r="C80" s="1" t="s">
        <v>290</v>
      </c>
      <c r="D80" s="1" t="s">
        <v>266</v>
      </c>
      <c r="E80" s="1" t="s">
        <v>267</v>
      </c>
      <c r="F80" s="29" t="s">
        <v>38</v>
      </c>
      <c r="G80" s="11">
        <v>2023</v>
      </c>
      <c r="H80" s="16">
        <v>45252</v>
      </c>
      <c r="I80" s="16">
        <v>45618</v>
      </c>
      <c r="J80" s="11">
        <v>2929</v>
      </c>
      <c r="K80" s="12" t="s">
        <v>268</v>
      </c>
      <c r="L80" s="16">
        <v>45301</v>
      </c>
      <c r="M80" s="12" t="s">
        <v>269</v>
      </c>
      <c r="N80" s="11" t="s">
        <v>41</v>
      </c>
      <c r="O80" s="25">
        <v>68801591.900000006</v>
      </c>
      <c r="P80" s="2">
        <v>100</v>
      </c>
      <c r="Q80" s="25">
        <v>68801591.900000006</v>
      </c>
      <c r="R80" s="25">
        <v>6111177.3993185004</v>
      </c>
      <c r="S80" s="25">
        <v>0</v>
      </c>
      <c r="T80" s="25">
        <v>2626223</v>
      </c>
      <c r="U80" s="25">
        <v>60064191.500681505</v>
      </c>
      <c r="V80" s="13">
        <v>525245</v>
      </c>
      <c r="W80" s="13">
        <v>0</v>
      </c>
      <c r="X80" s="13">
        <f t="shared" si="1"/>
        <v>0</v>
      </c>
      <c r="Y80" s="13"/>
      <c r="Z80" s="31"/>
      <c r="AA80" s="27"/>
    </row>
    <row r="81" spans="2:27">
      <c r="B81" s="11">
        <v>71</v>
      </c>
      <c r="C81" s="1" t="s">
        <v>291</v>
      </c>
      <c r="D81" s="1" t="s">
        <v>266</v>
      </c>
      <c r="E81" s="1" t="s">
        <v>267</v>
      </c>
      <c r="F81" s="29" t="s">
        <v>38</v>
      </c>
      <c r="G81" s="11">
        <v>2023</v>
      </c>
      <c r="H81" s="16">
        <v>45252</v>
      </c>
      <c r="I81" s="16">
        <v>45618</v>
      </c>
      <c r="J81" s="11">
        <v>2929</v>
      </c>
      <c r="K81" s="12" t="s">
        <v>268</v>
      </c>
      <c r="L81" s="16">
        <v>45301</v>
      </c>
      <c r="M81" s="12" t="s">
        <v>269</v>
      </c>
      <c r="N81" s="11" t="s">
        <v>41</v>
      </c>
      <c r="O81" s="25">
        <v>68801591.900000006</v>
      </c>
      <c r="P81" s="2">
        <v>100</v>
      </c>
      <c r="Q81" s="25">
        <v>68801591.900000006</v>
      </c>
      <c r="R81" s="25">
        <v>6111177.3993185004</v>
      </c>
      <c r="S81" s="25">
        <v>0</v>
      </c>
      <c r="T81" s="25">
        <v>3196758</v>
      </c>
      <c r="U81" s="25">
        <v>59493656.500681505</v>
      </c>
      <c r="V81" s="13">
        <v>639352</v>
      </c>
      <c r="W81" s="13">
        <v>0</v>
      </c>
      <c r="X81" s="13">
        <f t="shared" si="1"/>
        <v>0</v>
      </c>
      <c r="Y81" s="13"/>
      <c r="Z81" s="31"/>
      <c r="AA81" s="27"/>
    </row>
    <row r="82" spans="2:27">
      <c r="B82" s="11">
        <v>72</v>
      </c>
      <c r="C82" s="1" t="s">
        <v>292</v>
      </c>
      <c r="D82" s="1" t="s">
        <v>266</v>
      </c>
      <c r="E82" s="1" t="s">
        <v>267</v>
      </c>
      <c r="F82" s="29" t="s">
        <v>38</v>
      </c>
      <c r="G82" s="11">
        <v>2023</v>
      </c>
      <c r="H82" s="16">
        <v>45252</v>
      </c>
      <c r="I82" s="16">
        <v>45618</v>
      </c>
      <c r="J82" s="11">
        <v>2929</v>
      </c>
      <c r="K82" s="12" t="s">
        <v>268</v>
      </c>
      <c r="L82" s="16">
        <v>45304</v>
      </c>
      <c r="M82" s="12" t="s">
        <v>269</v>
      </c>
      <c r="N82" s="11" t="s">
        <v>41</v>
      </c>
      <c r="O82" s="25">
        <v>32124700.899999999</v>
      </c>
      <c r="P82" s="2">
        <v>100</v>
      </c>
      <c r="Q82" s="25">
        <v>32124700.899999999</v>
      </c>
      <c r="R82" s="25">
        <v>5687147.9729585899</v>
      </c>
      <c r="S82" s="25">
        <v>0</v>
      </c>
      <c r="T82" s="25">
        <v>3041491</v>
      </c>
      <c r="U82" s="25">
        <v>23396061.927041408</v>
      </c>
      <c r="V82" s="13">
        <v>608298</v>
      </c>
      <c r="W82" s="13">
        <v>73915294</v>
      </c>
      <c r="X82" s="13">
        <f t="shared" si="1"/>
        <v>14783058.800000001</v>
      </c>
      <c r="Y82" s="13"/>
      <c r="Z82" s="31"/>
      <c r="AA82" s="27"/>
    </row>
    <row r="83" spans="2:27">
      <c r="B83" s="11">
        <v>73</v>
      </c>
      <c r="C83" s="1" t="s">
        <v>293</v>
      </c>
      <c r="D83" s="1" t="s">
        <v>266</v>
      </c>
      <c r="E83" s="1" t="s">
        <v>267</v>
      </c>
      <c r="F83" s="29" t="s">
        <v>38</v>
      </c>
      <c r="G83" s="11">
        <v>2023</v>
      </c>
      <c r="H83" s="16">
        <v>45252</v>
      </c>
      <c r="I83" s="16">
        <v>45618</v>
      </c>
      <c r="J83" s="11">
        <v>2929</v>
      </c>
      <c r="K83" s="12" t="s">
        <v>268</v>
      </c>
      <c r="L83" s="16">
        <v>45312</v>
      </c>
      <c r="M83" s="12" t="s">
        <v>269</v>
      </c>
      <c r="N83" s="11" t="s">
        <v>41</v>
      </c>
      <c r="O83" s="25">
        <v>10526667.65</v>
      </c>
      <c r="P83" s="2">
        <v>100</v>
      </c>
      <c r="Q83" s="25">
        <v>10526667.65</v>
      </c>
      <c r="R83" s="25">
        <v>1581069.0678453101</v>
      </c>
      <c r="S83" s="25">
        <v>0</v>
      </c>
      <c r="T83" s="25">
        <v>3164787</v>
      </c>
      <c r="U83" s="25">
        <v>5780811.5821546912</v>
      </c>
      <c r="V83" s="13">
        <v>632957</v>
      </c>
      <c r="W83" s="13">
        <v>0</v>
      </c>
      <c r="X83" s="13">
        <f t="shared" si="1"/>
        <v>0</v>
      </c>
      <c r="Y83" s="13"/>
      <c r="Z83" s="31"/>
      <c r="AA83" s="27"/>
    </row>
    <row r="84" spans="2:27">
      <c r="B84" s="11">
        <v>74</v>
      </c>
      <c r="C84" s="1" t="s">
        <v>294</v>
      </c>
      <c r="D84" s="1" t="s">
        <v>266</v>
      </c>
      <c r="E84" s="1" t="s">
        <v>267</v>
      </c>
      <c r="F84" s="29" t="s">
        <v>38</v>
      </c>
      <c r="G84" s="11">
        <v>2023</v>
      </c>
      <c r="H84" s="16">
        <v>45252</v>
      </c>
      <c r="I84" s="16">
        <v>45618</v>
      </c>
      <c r="J84" s="11">
        <v>2929</v>
      </c>
      <c r="K84" s="12" t="s">
        <v>268</v>
      </c>
      <c r="L84" s="16">
        <v>45316</v>
      </c>
      <c r="M84" s="12" t="s">
        <v>269</v>
      </c>
      <c r="N84" s="11" t="s">
        <v>41</v>
      </c>
      <c r="O84" s="25">
        <v>68801591.900000006</v>
      </c>
      <c r="P84" s="2">
        <v>100</v>
      </c>
      <c r="Q84" s="25">
        <v>68801591.900000006</v>
      </c>
      <c r="R84" s="25">
        <v>6111177.3993185004</v>
      </c>
      <c r="S84" s="25">
        <v>0</v>
      </c>
      <c r="T84" s="25">
        <v>3288385</v>
      </c>
      <c r="U84" s="25">
        <v>59402029.500681505</v>
      </c>
      <c r="V84" s="13">
        <v>657677</v>
      </c>
      <c r="W84" s="13">
        <v>0</v>
      </c>
      <c r="X84" s="13">
        <f t="shared" si="1"/>
        <v>0</v>
      </c>
      <c r="Y84" s="13"/>
      <c r="Z84" s="31"/>
      <c r="AA84" s="27"/>
    </row>
    <row r="85" spans="2:27">
      <c r="B85" s="11">
        <v>75</v>
      </c>
      <c r="C85" s="1" t="s">
        <v>295</v>
      </c>
      <c r="D85" s="1" t="s">
        <v>266</v>
      </c>
      <c r="E85" s="1" t="s">
        <v>267</v>
      </c>
      <c r="F85" s="29" t="s">
        <v>38</v>
      </c>
      <c r="G85" s="11">
        <v>2023</v>
      </c>
      <c r="H85" s="16">
        <v>45252</v>
      </c>
      <c r="I85" s="16">
        <v>45618</v>
      </c>
      <c r="J85" s="11">
        <v>2929</v>
      </c>
      <c r="K85" s="12" t="s">
        <v>268</v>
      </c>
      <c r="L85" s="16">
        <v>45321</v>
      </c>
      <c r="M85" s="12" t="s">
        <v>269</v>
      </c>
      <c r="N85" s="11" t="s">
        <v>41</v>
      </c>
      <c r="O85" s="25">
        <v>68801591.900000006</v>
      </c>
      <c r="P85" s="2">
        <v>100</v>
      </c>
      <c r="Q85" s="25">
        <v>68801591.900000006</v>
      </c>
      <c r="R85" s="25">
        <v>6111177.3993185004</v>
      </c>
      <c r="S85" s="25">
        <v>0</v>
      </c>
      <c r="T85" s="25">
        <v>2400353</v>
      </c>
      <c r="U85" s="25">
        <v>60290061.500681505</v>
      </c>
      <c r="V85" s="13">
        <v>480071</v>
      </c>
      <c r="W85" s="13">
        <v>0</v>
      </c>
      <c r="X85" s="13">
        <f t="shared" si="1"/>
        <v>0</v>
      </c>
      <c r="Y85" s="13"/>
      <c r="Z85" s="31"/>
      <c r="AA85" s="27"/>
    </row>
    <row r="86" spans="2:27">
      <c r="B86" s="11">
        <v>76</v>
      </c>
      <c r="C86" s="1" t="s">
        <v>296</v>
      </c>
      <c r="D86" s="1" t="s">
        <v>266</v>
      </c>
      <c r="E86" s="1" t="s">
        <v>267</v>
      </c>
      <c r="F86" s="29" t="s">
        <v>38</v>
      </c>
      <c r="G86" s="11">
        <v>2023</v>
      </c>
      <c r="H86" s="16">
        <v>45252</v>
      </c>
      <c r="I86" s="16">
        <v>45618</v>
      </c>
      <c r="J86" s="11">
        <v>2929</v>
      </c>
      <c r="K86" s="12" t="s">
        <v>268</v>
      </c>
      <c r="L86" s="16">
        <v>45322</v>
      </c>
      <c r="M86" s="12" t="s">
        <v>269</v>
      </c>
      <c r="N86" s="11" t="s">
        <v>41</v>
      </c>
      <c r="O86" s="25">
        <v>68801591.900000006</v>
      </c>
      <c r="P86" s="2">
        <v>100</v>
      </c>
      <c r="Q86" s="25">
        <v>68801591.900000006</v>
      </c>
      <c r="R86" s="25">
        <v>6111177.3993185004</v>
      </c>
      <c r="S86" s="25">
        <v>0</v>
      </c>
      <c r="T86" s="25">
        <v>2810915</v>
      </c>
      <c r="U86" s="25">
        <v>59879499.500681505</v>
      </c>
      <c r="V86" s="13">
        <v>562183</v>
      </c>
      <c r="W86" s="13">
        <v>0</v>
      </c>
      <c r="X86" s="13">
        <f t="shared" si="1"/>
        <v>0</v>
      </c>
      <c r="Y86" s="13"/>
      <c r="Z86" s="31"/>
      <c r="AA86" s="27"/>
    </row>
    <row r="87" spans="2:27">
      <c r="B87" s="11">
        <v>77</v>
      </c>
      <c r="C87" s="1" t="s">
        <v>297</v>
      </c>
      <c r="D87" s="1" t="s">
        <v>266</v>
      </c>
      <c r="E87" s="1" t="s">
        <v>267</v>
      </c>
      <c r="F87" s="29" t="s">
        <v>38</v>
      </c>
      <c r="G87" s="11">
        <v>2023</v>
      </c>
      <c r="H87" s="16">
        <v>45252</v>
      </c>
      <c r="I87" s="16">
        <v>45618</v>
      </c>
      <c r="J87" s="11">
        <v>2929</v>
      </c>
      <c r="K87" s="12" t="s">
        <v>268</v>
      </c>
      <c r="L87" s="16">
        <v>45322</v>
      </c>
      <c r="M87" s="12" t="s">
        <v>269</v>
      </c>
      <c r="N87" s="11" t="s">
        <v>41</v>
      </c>
      <c r="O87" s="25">
        <v>68801591.900000006</v>
      </c>
      <c r="P87" s="2">
        <v>100</v>
      </c>
      <c r="Q87" s="25">
        <v>68801591.900000006</v>
      </c>
      <c r="R87" s="25">
        <v>6111177.3993185004</v>
      </c>
      <c r="S87" s="25">
        <v>0</v>
      </c>
      <c r="T87" s="25">
        <v>2154598</v>
      </c>
      <c r="U87" s="25">
        <v>60535816.500681505</v>
      </c>
      <c r="V87" s="13">
        <v>430920</v>
      </c>
      <c r="W87" s="13">
        <v>0</v>
      </c>
      <c r="X87" s="13">
        <f t="shared" si="1"/>
        <v>0</v>
      </c>
      <c r="Y87" s="13"/>
      <c r="Z87" s="31"/>
      <c r="AA87" s="27"/>
    </row>
    <row r="88" spans="2:27">
      <c r="B88" s="11">
        <v>78</v>
      </c>
      <c r="C88" s="1" t="s">
        <v>298</v>
      </c>
      <c r="D88" s="1" t="s">
        <v>266</v>
      </c>
      <c r="E88" s="1" t="s">
        <v>267</v>
      </c>
      <c r="F88" s="29" t="s">
        <v>38</v>
      </c>
      <c r="G88" s="11">
        <v>2023</v>
      </c>
      <c r="H88" s="16">
        <v>45252</v>
      </c>
      <c r="I88" s="16">
        <v>45618</v>
      </c>
      <c r="J88" s="11">
        <v>2929</v>
      </c>
      <c r="K88" s="12" t="s">
        <v>268</v>
      </c>
      <c r="L88" s="16">
        <v>45299</v>
      </c>
      <c r="M88" s="12" t="s">
        <v>269</v>
      </c>
      <c r="N88" s="11" t="s">
        <v>41</v>
      </c>
      <c r="O88" s="25">
        <v>68801591.900000006</v>
      </c>
      <c r="P88" s="2">
        <v>100</v>
      </c>
      <c r="Q88" s="25">
        <v>68801591.900000006</v>
      </c>
      <c r="R88" s="25">
        <v>6111177.3993185004</v>
      </c>
      <c r="S88" s="25">
        <v>0</v>
      </c>
      <c r="T88" s="25">
        <v>2266599</v>
      </c>
      <c r="U88" s="25">
        <v>60423815.500681505</v>
      </c>
      <c r="V88" s="13">
        <v>453320</v>
      </c>
      <c r="W88" s="13">
        <v>0</v>
      </c>
      <c r="X88" s="13">
        <f t="shared" si="1"/>
        <v>0</v>
      </c>
      <c r="Y88" s="13"/>
      <c r="Z88" s="31"/>
      <c r="AA88" s="27"/>
    </row>
    <row r="89" spans="2:27">
      <c r="B89" s="11">
        <v>79</v>
      </c>
      <c r="C89" s="1" t="s">
        <v>299</v>
      </c>
      <c r="D89" s="1" t="s">
        <v>266</v>
      </c>
      <c r="E89" s="1" t="s">
        <v>267</v>
      </c>
      <c r="F89" s="29" t="s">
        <v>38</v>
      </c>
      <c r="G89" s="11">
        <v>2023</v>
      </c>
      <c r="H89" s="16">
        <v>45252</v>
      </c>
      <c r="I89" s="16">
        <v>45618</v>
      </c>
      <c r="J89" s="11">
        <v>2929</v>
      </c>
      <c r="K89" s="12" t="s">
        <v>268</v>
      </c>
      <c r="L89" s="16">
        <v>45346</v>
      </c>
      <c r="M89" s="12" t="s">
        <v>269</v>
      </c>
      <c r="N89" s="11" t="s">
        <v>41</v>
      </c>
      <c r="O89" s="25">
        <v>8187144</v>
      </c>
      <c r="P89" s="2">
        <v>100</v>
      </c>
      <c r="Q89" s="25">
        <v>8187144</v>
      </c>
      <c r="R89" s="25">
        <v>3929492.5844531199</v>
      </c>
      <c r="S89" s="25">
        <v>0</v>
      </c>
      <c r="T89" s="25">
        <v>4257651</v>
      </c>
      <c r="U89" s="25">
        <v>0.41554688010364771</v>
      </c>
      <c r="V89" s="13">
        <v>851530</v>
      </c>
      <c r="W89" s="13">
        <v>163742880</v>
      </c>
      <c r="X89" s="13">
        <f t="shared" si="1"/>
        <v>32748576</v>
      </c>
      <c r="Y89" s="13"/>
      <c r="Z89" s="31"/>
      <c r="AA89" s="27"/>
    </row>
    <row r="90" spans="2:27">
      <c r="B90" s="11">
        <v>80</v>
      </c>
      <c r="C90" s="1" t="s">
        <v>300</v>
      </c>
      <c r="D90" s="1" t="s">
        <v>266</v>
      </c>
      <c r="E90" s="1" t="s">
        <v>267</v>
      </c>
      <c r="F90" s="29" t="s">
        <v>38</v>
      </c>
      <c r="G90" s="11">
        <v>2023</v>
      </c>
      <c r="H90" s="16">
        <v>45252</v>
      </c>
      <c r="I90" s="16">
        <v>45618</v>
      </c>
      <c r="J90" s="11">
        <v>2929</v>
      </c>
      <c r="K90" s="12" t="s">
        <v>268</v>
      </c>
      <c r="L90" s="16">
        <v>45351</v>
      </c>
      <c r="M90" s="12" t="s">
        <v>269</v>
      </c>
      <c r="N90" s="11" t="s">
        <v>41</v>
      </c>
      <c r="O90" s="25">
        <v>9339261.0500000007</v>
      </c>
      <c r="P90" s="2">
        <v>100</v>
      </c>
      <c r="Q90" s="25">
        <v>9339261.0500000007</v>
      </c>
      <c r="R90" s="25">
        <v>3471058.2305626902</v>
      </c>
      <c r="S90" s="25">
        <v>0</v>
      </c>
      <c r="T90" s="25">
        <v>2526944</v>
      </c>
      <c r="U90" s="25">
        <v>3341258.8194373101</v>
      </c>
      <c r="V90" s="13">
        <v>505389</v>
      </c>
      <c r="W90" s="13">
        <v>0</v>
      </c>
      <c r="X90" s="13">
        <f t="shared" si="1"/>
        <v>0</v>
      </c>
      <c r="Y90" s="13"/>
      <c r="Z90" s="31"/>
      <c r="AA90" s="27"/>
    </row>
    <row r="91" spans="2:27">
      <c r="B91" s="11">
        <v>81</v>
      </c>
      <c r="C91" s="1" t="s">
        <v>301</v>
      </c>
      <c r="D91" s="1" t="s">
        <v>266</v>
      </c>
      <c r="E91" s="1" t="s">
        <v>267</v>
      </c>
      <c r="F91" s="29" t="s">
        <v>38</v>
      </c>
      <c r="G91" s="11">
        <v>2023</v>
      </c>
      <c r="H91" s="16">
        <v>45252</v>
      </c>
      <c r="I91" s="16">
        <v>45618</v>
      </c>
      <c r="J91" s="11">
        <v>2929</v>
      </c>
      <c r="K91" s="12" t="s">
        <v>268</v>
      </c>
      <c r="L91" s="16">
        <v>45364</v>
      </c>
      <c r="M91" s="12" t="s">
        <v>269</v>
      </c>
      <c r="N91" s="11" t="s">
        <v>41</v>
      </c>
      <c r="O91" s="25">
        <v>32124700.899999999</v>
      </c>
      <c r="P91" s="2">
        <v>100</v>
      </c>
      <c r="Q91" s="25">
        <v>32124700.899999999</v>
      </c>
      <c r="R91" s="25">
        <v>5687147.9729585899</v>
      </c>
      <c r="S91" s="25">
        <v>0</v>
      </c>
      <c r="T91" s="25">
        <v>6537441</v>
      </c>
      <c r="U91" s="25">
        <v>19900111.927041408</v>
      </c>
      <c r="V91" s="13">
        <v>1307488</v>
      </c>
      <c r="W91" s="13">
        <v>158875004</v>
      </c>
      <c r="X91" s="13">
        <f t="shared" si="1"/>
        <v>31775000.800000001</v>
      </c>
      <c r="Y91" s="13"/>
      <c r="Z91" s="31"/>
      <c r="AA91" s="27"/>
    </row>
    <row r="92" spans="2:27">
      <c r="B92" s="11">
        <v>82</v>
      </c>
      <c r="C92" s="1" t="s">
        <v>302</v>
      </c>
      <c r="D92" s="1" t="s">
        <v>266</v>
      </c>
      <c r="E92" s="1" t="s">
        <v>267</v>
      </c>
      <c r="F92" s="29" t="s">
        <v>38</v>
      </c>
      <c r="G92" s="11">
        <v>2023</v>
      </c>
      <c r="H92" s="16">
        <v>45252</v>
      </c>
      <c r="I92" s="16">
        <v>45618</v>
      </c>
      <c r="J92" s="11">
        <v>2929</v>
      </c>
      <c r="K92" s="12" t="s">
        <v>268</v>
      </c>
      <c r="L92" s="16">
        <v>45372</v>
      </c>
      <c r="M92" s="12" t="s">
        <v>269</v>
      </c>
      <c r="N92" s="11" t="s">
        <v>41</v>
      </c>
      <c r="O92" s="25">
        <v>68801591.900000006</v>
      </c>
      <c r="P92" s="2">
        <v>100</v>
      </c>
      <c r="Q92" s="25">
        <v>68801591.900000006</v>
      </c>
      <c r="R92" s="25">
        <v>6111177.3993185004</v>
      </c>
      <c r="S92" s="25">
        <v>0</v>
      </c>
      <c r="T92" s="25">
        <v>2452889</v>
      </c>
      <c r="U92" s="25">
        <v>60237525.500681505</v>
      </c>
      <c r="V92" s="13">
        <v>490578</v>
      </c>
      <c r="W92" s="13">
        <v>0</v>
      </c>
      <c r="X92" s="13">
        <f t="shared" si="1"/>
        <v>0</v>
      </c>
      <c r="Y92" s="13"/>
      <c r="Z92" s="31"/>
      <c r="AA92" s="27"/>
    </row>
    <row r="93" spans="2:27">
      <c r="B93" s="11">
        <v>83</v>
      </c>
      <c r="C93" s="1" t="s">
        <v>303</v>
      </c>
      <c r="D93" s="1" t="s">
        <v>266</v>
      </c>
      <c r="E93" s="1" t="s">
        <v>267</v>
      </c>
      <c r="F93" s="29" t="s">
        <v>38</v>
      </c>
      <c r="G93" s="11">
        <v>2023</v>
      </c>
      <c r="H93" s="16">
        <v>45252</v>
      </c>
      <c r="I93" s="16">
        <v>45618</v>
      </c>
      <c r="J93" s="11">
        <v>2929</v>
      </c>
      <c r="K93" s="12" t="s">
        <v>268</v>
      </c>
      <c r="L93" s="16">
        <v>45377</v>
      </c>
      <c r="M93" s="12" t="s">
        <v>269</v>
      </c>
      <c r="N93" s="11" t="s">
        <v>41</v>
      </c>
      <c r="O93" s="25">
        <v>2737600.8</v>
      </c>
      <c r="P93" s="2">
        <v>100</v>
      </c>
      <c r="Q93" s="25">
        <v>2737600.8</v>
      </c>
      <c r="R93" s="25">
        <v>1204902.3691668301</v>
      </c>
      <c r="S93" s="25">
        <v>0</v>
      </c>
      <c r="T93" s="25">
        <v>764642</v>
      </c>
      <c r="U93" s="25">
        <v>768056.43083316972</v>
      </c>
      <c r="V93" s="13">
        <v>152928</v>
      </c>
      <c r="W93" s="13">
        <v>0</v>
      </c>
      <c r="X93" s="13">
        <f t="shared" si="1"/>
        <v>0</v>
      </c>
      <c r="Y93" s="13"/>
      <c r="Z93" s="31"/>
      <c r="AA93" s="27"/>
    </row>
    <row r="94" spans="2:27">
      <c r="B94" s="11">
        <v>84</v>
      </c>
      <c r="C94" s="1" t="s">
        <v>304</v>
      </c>
      <c r="D94" s="1" t="s">
        <v>266</v>
      </c>
      <c r="E94" s="1" t="s">
        <v>267</v>
      </c>
      <c r="F94" s="29" t="s">
        <v>38</v>
      </c>
      <c r="G94" s="11">
        <v>2023</v>
      </c>
      <c r="H94" s="16">
        <v>45252</v>
      </c>
      <c r="I94" s="16">
        <v>45618</v>
      </c>
      <c r="J94" s="11">
        <v>2929</v>
      </c>
      <c r="K94" s="12" t="s">
        <v>268</v>
      </c>
      <c r="L94" s="16">
        <v>45383</v>
      </c>
      <c r="M94" s="12" t="s">
        <v>269</v>
      </c>
      <c r="N94" s="11" t="s">
        <v>41</v>
      </c>
      <c r="O94" s="25">
        <v>5409342.1500000004</v>
      </c>
      <c r="P94" s="2">
        <v>100</v>
      </c>
      <c r="Q94" s="25">
        <v>5409342.1500000004</v>
      </c>
      <c r="R94" s="25">
        <v>2911338.9290877902</v>
      </c>
      <c r="S94" s="25">
        <v>0</v>
      </c>
      <c r="T94" s="25">
        <v>2498003</v>
      </c>
      <c r="U94" s="25">
        <v>0.22091221017763019</v>
      </c>
      <c r="V94" s="13">
        <v>499601</v>
      </c>
      <c r="W94" s="13">
        <v>108186843</v>
      </c>
      <c r="X94" s="13">
        <f t="shared" si="1"/>
        <v>21637368.600000001</v>
      </c>
      <c r="Y94" s="13"/>
      <c r="Z94" s="31"/>
      <c r="AA94" s="27"/>
    </row>
    <row r="95" spans="2:27">
      <c r="B95" s="11">
        <v>85</v>
      </c>
      <c r="C95" s="1" t="s">
        <v>305</v>
      </c>
      <c r="D95" s="1" t="s">
        <v>266</v>
      </c>
      <c r="E95" s="1" t="s">
        <v>267</v>
      </c>
      <c r="F95" s="29" t="s">
        <v>38</v>
      </c>
      <c r="G95" s="11">
        <v>2023</v>
      </c>
      <c r="H95" s="16">
        <v>45252</v>
      </c>
      <c r="I95" s="16">
        <v>45618</v>
      </c>
      <c r="J95" s="11">
        <v>2929</v>
      </c>
      <c r="K95" s="12" t="s">
        <v>268</v>
      </c>
      <c r="L95" s="16">
        <v>45386</v>
      </c>
      <c r="M95" s="12" t="s">
        <v>269</v>
      </c>
      <c r="N95" s="11" t="s">
        <v>41</v>
      </c>
      <c r="O95" s="25">
        <v>68801591.900000006</v>
      </c>
      <c r="P95" s="2">
        <v>100</v>
      </c>
      <c r="Q95" s="25">
        <v>68801591.900000006</v>
      </c>
      <c r="R95" s="25">
        <v>6111177.3993185004</v>
      </c>
      <c r="S95" s="25">
        <v>0</v>
      </c>
      <c r="T95" s="25">
        <v>2614123</v>
      </c>
      <c r="U95" s="25">
        <v>60076291.500681505</v>
      </c>
      <c r="V95" s="13">
        <v>522825</v>
      </c>
      <c r="W95" s="13">
        <v>0</v>
      </c>
      <c r="X95" s="13">
        <f t="shared" si="1"/>
        <v>0</v>
      </c>
      <c r="Y95" s="13"/>
      <c r="Z95" s="31"/>
      <c r="AA95" s="27"/>
    </row>
    <row r="96" spans="2:27">
      <c r="B96" s="11">
        <v>86</v>
      </c>
      <c r="C96" s="1" t="s">
        <v>306</v>
      </c>
      <c r="D96" s="1" t="s">
        <v>266</v>
      </c>
      <c r="E96" s="1" t="s">
        <v>267</v>
      </c>
      <c r="F96" s="29" t="s">
        <v>38</v>
      </c>
      <c r="G96" s="11">
        <v>2023</v>
      </c>
      <c r="H96" s="16">
        <v>45252</v>
      </c>
      <c r="I96" s="16">
        <v>45618</v>
      </c>
      <c r="J96" s="11">
        <v>2929</v>
      </c>
      <c r="K96" s="12" t="s">
        <v>268</v>
      </c>
      <c r="L96" s="16">
        <v>45400</v>
      </c>
      <c r="M96" s="12" t="s">
        <v>269</v>
      </c>
      <c r="N96" s="11" t="s">
        <v>41</v>
      </c>
      <c r="O96" s="25">
        <v>2737600.8</v>
      </c>
      <c r="P96" s="2">
        <v>100</v>
      </c>
      <c r="Q96" s="25">
        <v>2737600.8</v>
      </c>
      <c r="R96" s="25">
        <v>1204902.3691668301</v>
      </c>
      <c r="S96" s="25">
        <v>0</v>
      </c>
      <c r="T96" s="25">
        <v>768056</v>
      </c>
      <c r="U96" s="25">
        <v>764642.43083316972</v>
      </c>
      <c r="V96" s="13">
        <v>153611</v>
      </c>
      <c r="W96" s="13">
        <v>0</v>
      </c>
      <c r="X96" s="13">
        <f t="shared" si="1"/>
        <v>0</v>
      </c>
      <c r="Y96" s="13"/>
      <c r="Z96" s="31"/>
      <c r="AA96" s="27"/>
    </row>
    <row r="97" spans="2:27">
      <c r="B97" s="11">
        <v>87</v>
      </c>
      <c r="C97" s="1" t="s">
        <v>307</v>
      </c>
      <c r="D97" s="1" t="s">
        <v>266</v>
      </c>
      <c r="E97" s="1" t="s">
        <v>267</v>
      </c>
      <c r="F97" s="29" t="s">
        <v>38</v>
      </c>
      <c r="G97" s="11">
        <v>2023</v>
      </c>
      <c r="H97" s="16">
        <v>45252</v>
      </c>
      <c r="I97" s="16">
        <v>45618</v>
      </c>
      <c r="J97" s="11">
        <v>2929</v>
      </c>
      <c r="K97" s="12" t="s">
        <v>268</v>
      </c>
      <c r="L97" s="16">
        <v>45439</v>
      </c>
      <c r="M97" s="12" t="s">
        <v>269</v>
      </c>
      <c r="N97" s="11" t="s">
        <v>41</v>
      </c>
      <c r="O97" s="25">
        <v>9339261.0500000007</v>
      </c>
      <c r="P97" s="2">
        <v>100</v>
      </c>
      <c r="Q97" s="25">
        <v>9339261.0500000007</v>
      </c>
      <c r="R97" s="25">
        <v>3471058.2305626902</v>
      </c>
      <c r="S97" s="25">
        <v>0</v>
      </c>
      <c r="T97" s="25">
        <v>36987</v>
      </c>
      <c r="U97" s="25">
        <v>5831215.8194373101</v>
      </c>
      <c r="V97" s="13">
        <v>7397</v>
      </c>
      <c r="W97" s="13">
        <v>0</v>
      </c>
      <c r="X97" s="13">
        <f t="shared" si="1"/>
        <v>0</v>
      </c>
      <c r="Y97" s="13"/>
      <c r="Z97" s="31"/>
      <c r="AA97" s="27"/>
    </row>
    <row r="98" spans="2:27">
      <c r="B98" s="11">
        <v>88</v>
      </c>
      <c r="C98" s="1" t="s">
        <v>308</v>
      </c>
      <c r="D98" s="1" t="s">
        <v>266</v>
      </c>
      <c r="E98" s="1" t="s">
        <v>267</v>
      </c>
      <c r="F98" s="29" t="s">
        <v>38</v>
      </c>
      <c r="G98" s="11">
        <v>2023</v>
      </c>
      <c r="H98" s="16">
        <v>45252</v>
      </c>
      <c r="I98" s="16">
        <v>45618</v>
      </c>
      <c r="J98" s="11">
        <v>2929</v>
      </c>
      <c r="K98" s="12" t="s">
        <v>268</v>
      </c>
      <c r="L98" s="16">
        <v>45449</v>
      </c>
      <c r="M98" s="12" t="s">
        <v>269</v>
      </c>
      <c r="N98" s="11" t="s">
        <v>41</v>
      </c>
      <c r="O98" s="25">
        <v>68801591.900000006</v>
      </c>
      <c r="P98" s="2">
        <v>100</v>
      </c>
      <c r="Q98" s="25">
        <v>68801591.900000006</v>
      </c>
      <c r="R98" s="25">
        <v>6111177.3993185004</v>
      </c>
      <c r="S98" s="25">
        <v>0</v>
      </c>
      <c r="T98" s="25">
        <v>6045680</v>
      </c>
      <c r="U98" s="25">
        <v>56644734.500681505</v>
      </c>
      <c r="V98" s="13">
        <v>1209136</v>
      </c>
      <c r="W98" s="13">
        <v>0</v>
      </c>
      <c r="X98" s="13">
        <f t="shared" si="1"/>
        <v>0</v>
      </c>
      <c r="Y98" s="13"/>
      <c r="Z98" s="31"/>
      <c r="AA98" s="27"/>
    </row>
    <row r="99" spans="2:27">
      <c r="B99" s="11">
        <v>89</v>
      </c>
      <c r="C99" s="1" t="s">
        <v>309</v>
      </c>
      <c r="D99" s="1" t="s">
        <v>310</v>
      </c>
      <c r="E99" s="1" t="s">
        <v>311</v>
      </c>
      <c r="F99" s="29" t="s">
        <v>38</v>
      </c>
      <c r="G99" s="11">
        <v>2023</v>
      </c>
      <c r="H99" s="16">
        <v>45240</v>
      </c>
      <c r="I99" s="16">
        <v>45787</v>
      </c>
      <c r="J99" s="11">
        <v>29371</v>
      </c>
      <c r="K99" s="12" t="s">
        <v>86</v>
      </c>
      <c r="L99" s="16">
        <v>45580</v>
      </c>
      <c r="M99" s="12" t="s">
        <v>269</v>
      </c>
      <c r="N99" s="11" t="s">
        <v>41</v>
      </c>
      <c r="O99" s="25">
        <v>24321659.850000001</v>
      </c>
      <c r="P99" s="2">
        <v>100</v>
      </c>
      <c r="Q99" s="25">
        <v>24321659.850000001</v>
      </c>
      <c r="R99" s="25">
        <v>2846975.7154065799</v>
      </c>
      <c r="S99" s="25">
        <v>0</v>
      </c>
      <c r="T99" s="25">
        <v>21474685</v>
      </c>
      <c r="U99" s="25">
        <v>-0.8654065802693367</v>
      </c>
      <c r="V99" s="13">
        <v>4294937</v>
      </c>
      <c r="W99" s="13">
        <v>1621443990</v>
      </c>
      <c r="X99" s="13">
        <f t="shared" si="1"/>
        <v>324288798</v>
      </c>
      <c r="Y99" s="13"/>
      <c r="Z99" s="31"/>
      <c r="AA99" s="27"/>
    </row>
    <row r="100" spans="2:27">
      <c r="B100" s="11">
        <v>90</v>
      </c>
      <c r="C100" s="1" t="s">
        <v>312</v>
      </c>
      <c r="D100" s="1" t="s">
        <v>313</v>
      </c>
      <c r="E100" s="1" t="s">
        <v>314</v>
      </c>
      <c r="F100" s="29" t="s">
        <v>38</v>
      </c>
      <c r="G100" s="11">
        <v>2024</v>
      </c>
      <c r="H100" s="16">
        <v>45323</v>
      </c>
      <c r="I100" s="16">
        <v>45689</v>
      </c>
      <c r="J100" s="11">
        <v>2623</v>
      </c>
      <c r="K100" s="12" t="s">
        <v>315</v>
      </c>
      <c r="L100" s="16">
        <v>45590</v>
      </c>
      <c r="M100" s="12" t="s">
        <v>133</v>
      </c>
      <c r="N100" s="11" t="s">
        <v>41</v>
      </c>
      <c r="O100" s="25">
        <v>85626093</v>
      </c>
      <c r="P100" s="2">
        <v>75</v>
      </c>
      <c r="Q100" s="25">
        <v>64219569.75</v>
      </c>
      <c r="R100" s="25">
        <v>24052273.3146067</v>
      </c>
      <c r="S100" s="25">
        <v>0</v>
      </c>
      <c r="T100" s="25">
        <v>39806512</v>
      </c>
      <c r="U100" s="25">
        <v>360784.43539330363</v>
      </c>
      <c r="V100" s="13">
        <v>1990326</v>
      </c>
      <c r="W100" s="13">
        <v>1219999000</v>
      </c>
      <c r="X100" s="13">
        <f t="shared" ref="X100:X150" si="2">W100*5%</f>
        <v>60999950</v>
      </c>
      <c r="Y100" s="13"/>
      <c r="Z100" s="31"/>
      <c r="AA100" s="27"/>
    </row>
    <row r="101" spans="2:27">
      <c r="B101" s="11">
        <v>91</v>
      </c>
      <c r="C101" s="1" t="s">
        <v>316</v>
      </c>
      <c r="D101" s="1" t="s">
        <v>317</v>
      </c>
      <c r="E101" s="1" t="s">
        <v>318</v>
      </c>
      <c r="F101" s="29" t="s">
        <v>38</v>
      </c>
      <c r="G101" s="11">
        <v>2024</v>
      </c>
      <c r="H101" s="16">
        <v>45404</v>
      </c>
      <c r="I101" s="16">
        <v>45561</v>
      </c>
      <c r="J101" s="11">
        <v>2433</v>
      </c>
      <c r="K101" s="12" t="s">
        <v>319</v>
      </c>
      <c r="L101" s="16">
        <v>45493</v>
      </c>
      <c r="M101" s="12" t="s">
        <v>133</v>
      </c>
      <c r="N101" s="11" t="s">
        <v>41</v>
      </c>
      <c r="O101" s="25">
        <v>366231865</v>
      </c>
      <c r="P101" s="2">
        <v>15</v>
      </c>
      <c r="Q101" s="25">
        <v>54934779.75</v>
      </c>
      <c r="R101" s="25">
        <v>6222352.2980538001</v>
      </c>
      <c r="S101" s="25">
        <v>0</v>
      </c>
      <c r="T101" s="25">
        <v>48685889</v>
      </c>
      <c r="U101" s="25">
        <v>26538.45194619894</v>
      </c>
      <c r="V101" s="13">
        <v>2434294</v>
      </c>
      <c r="W101" s="13">
        <v>1510000000</v>
      </c>
      <c r="X101" s="13">
        <f t="shared" si="2"/>
        <v>75500000</v>
      </c>
      <c r="Y101" s="13"/>
      <c r="Z101" s="31"/>
      <c r="AA101" s="27"/>
    </row>
    <row r="102" spans="2:27">
      <c r="B102" s="11">
        <v>92</v>
      </c>
      <c r="C102" s="1" t="s">
        <v>320</v>
      </c>
      <c r="D102" s="1" t="s">
        <v>321</v>
      </c>
      <c r="E102" s="1" t="s">
        <v>322</v>
      </c>
      <c r="F102" s="29" t="s">
        <v>38</v>
      </c>
      <c r="G102" s="11">
        <v>2024</v>
      </c>
      <c r="H102" s="16">
        <v>45528</v>
      </c>
      <c r="I102" s="16">
        <v>45893</v>
      </c>
      <c r="J102" s="11">
        <v>29412</v>
      </c>
      <c r="K102" s="12" t="s">
        <v>323</v>
      </c>
      <c r="L102" s="16">
        <v>45697</v>
      </c>
      <c r="M102" s="12" t="s">
        <v>87</v>
      </c>
      <c r="N102" s="11" t="s">
        <v>41</v>
      </c>
      <c r="O102" s="25">
        <v>108793333</v>
      </c>
      <c r="P102" s="2">
        <v>25</v>
      </c>
      <c r="Q102" s="25">
        <v>27198333.25</v>
      </c>
      <c r="R102" s="25">
        <v>6721885.78406105</v>
      </c>
      <c r="S102" s="25">
        <v>0</v>
      </c>
      <c r="T102" s="25">
        <v>20459643</v>
      </c>
      <c r="U102" s="25">
        <v>16804.465938948095</v>
      </c>
      <c r="V102" s="13">
        <v>1022982</v>
      </c>
      <c r="W102" s="13">
        <v>162180000</v>
      </c>
      <c r="X102" s="13">
        <f t="shared" si="2"/>
        <v>8109000</v>
      </c>
      <c r="Y102" s="13"/>
      <c r="Z102" s="31"/>
      <c r="AA102" s="27"/>
    </row>
    <row r="103" spans="2:27">
      <c r="B103" s="11">
        <v>93</v>
      </c>
      <c r="C103" s="1" t="s">
        <v>324</v>
      </c>
      <c r="D103" s="1" t="s">
        <v>325</v>
      </c>
      <c r="E103" s="1" t="s">
        <v>326</v>
      </c>
      <c r="F103" s="29" t="s">
        <v>38</v>
      </c>
      <c r="G103" s="11">
        <v>2024</v>
      </c>
      <c r="H103" s="16">
        <v>45657</v>
      </c>
      <c r="I103" s="16">
        <v>46022</v>
      </c>
      <c r="J103" s="11">
        <v>2121</v>
      </c>
      <c r="K103" s="12" t="s">
        <v>327</v>
      </c>
      <c r="L103" s="16">
        <v>45742</v>
      </c>
      <c r="M103" s="12" t="s">
        <v>87</v>
      </c>
      <c r="N103" s="11" t="s">
        <v>41</v>
      </c>
      <c r="O103" s="25">
        <v>20243600</v>
      </c>
      <c r="P103" s="2">
        <v>37.5</v>
      </c>
      <c r="Q103" s="25">
        <v>7591350</v>
      </c>
      <c r="R103" s="25">
        <v>5012451.0267990101</v>
      </c>
      <c r="S103" s="25">
        <v>0</v>
      </c>
      <c r="T103" s="25">
        <v>2560102</v>
      </c>
      <c r="U103" s="25">
        <v>18796.973200989887</v>
      </c>
      <c r="V103" s="13">
        <v>128005</v>
      </c>
      <c r="W103" s="13">
        <v>21000000</v>
      </c>
      <c r="X103" s="13">
        <f t="shared" si="2"/>
        <v>1050000</v>
      </c>
      <c r="Y103" s="13"/>
      <c r="Z103" s="31"/>
      <c r="AA103" s="27"/>
    </row>
    <row r="104" spans="2:27">
      <c r="B104" s="11">
        <v>94</v>
      </c>
      <c r="C104" s="1" t="s">
        <v>328</v>
      </c>
      <c r="D104" s="1" t="s">
        <v>329</v>
      </c>
      <c r="E104" s="1" t="s">
        <v>330</v>
      </c>
      <c r="F104" s="29" t="s">
        <v>38</v>
      </c>
      <c r="G104" s="11">
        <v>2024</v>
      </c>
      <c r="H104" s="16">
        <v>45627</v>
      </c>
      <c r="I104" s="16">
        <v>45992</v>
      </c>
      <c r="J104" s="11">
        <v>238</v>
      </c>
      <c r="K104" s="12" t="s">
        <v>331</v>
      </c>
      <c r="L104" s="16">
        <v>45817</v>
      </c>
      <c r="M104" s="12" t="s">
        <v>87</v>
      </c>
      <c r="N104" s="11" t="s">
        <v>41</v>
      </c>
      <c r="O104" s="25">
        <v>124892706.99999999</v>
      </c>
      <c r="P104" s="2">
        <v>10</v>
      </c>
      <c r="Q104" s="25">
        <v>12489270.699999999</v>
      </c>
      <c r="R104" s="25">
        <v>8108897.0771407699</v>
      </c>
      <c r="S104" s="25">
        <v>0</v>
      </c>
      <c r="T104" s="25">
        <v>4364929</v>
      </c>
      <c r="U104" s="25">
        <v>15444.622859229334</v>
      </c>
      <c r="V104" s="13">
        <v>218246</v>
      </c>
      <c r="W104" s="13">
        <v>0</v>
      </c>
      <c r="X104" s="13">
        <f t="shared" si="2"/>
        <v>0</v>
      </c>
      <c r="Y104" s="13"/>
      <c r="Z104" s="31"/>
      <c r="AA104" s="27"/>
    </row>
    <row r="105" spans="2:27">
      <c r="B105" s="11">
        <v>95</v>
      </c>
      <c r="C105" s="1" t="s">
        <v>332</v>
      </c>
      <c r="D105" s="1" t="s">
        <v>333</v>
      </c>
      <c r="E105" s="1" t="s">
        <v>334</v>
      </c>
      <c r="F105" s="29" t="s">
        <v>38</v>
      </c>
      <c r="G105" s="11">
        <v>2024</v>
      </c>
      <c r="H105" s="16">
        <v>45626</v>
      </c>
      <c r="I105" s="16">
        <v>45991</v>
      </c>
      <c r="J105" s="11">
        <v>2751</v>
      </c>
      <c r="K105" s="12" t="s">
        <v>335</v>
      </c>
      <c r="L105" s="16">
        <v>45787</v>
      </c>
      <c r="M105" s="12" t="s">
        <v>87</v>
      </c>
      <c r="N105" s="11" t="s">
        <v>41</v>
      </c>
      <c r="O105" s="25">
        <v>36104565</v>
      </c>
      <c r="P105" s="2">
        <v>5</v>
      </c>
      <c r="Q105" s="25">
        <v>1805228.25</v>
      </c>
      <c r="R105" s="25">
        <v>738073.82207526499</v>
      </c>
      <c r="S105" s="25">
        <v>0</v>
      </c>
      <c r="T105" s="25">
        <v>124517</v>
      </c>
      <c r="U105" s="25">
        <v>942637.42792473501</v>
      </c>
      <c r="V105" s="13">
        <v>6226</v>
      </c>
      <c r="W105" s="13">
        <v>0</v>
      </c>
      <c r="X105" s="13">
        <f t="shared" si="2"/>
        <v>0</v>
      </c>
      <c r="Y105" s="13"/>
      <c r="Z105" s="31"/>
      <c r="AA105" s="27"/>
    </row>
    <row r="106" spans="2:27">
      <c r="B106" s="11">
        <v>96</v>
      </c>
      <c r="C106" s="1" t="s">
        <v>336</v>
      </c>
      <c r="D106" s="1" t="s">
        <v>333</v>
      </c>
      <c r="E106" s="1" t="s">
        <v>334</v>
      </c>
      <c r="F106" s="29" t="s">
        <v>38</v>
      </c>
      <c r="G106" s="11">
        <v>2024</v>
      </c>
      <c r="H106" s="16">
        <v>45626</v>
      </c>
      <c r="I106" s="16">
        <v>45991</v>
      </c>
      <c r="J106" s="11">
        <v>2751</v>
      </c>
      <c r="K106" s="12" t="s">
        <v>335</v>
      </c>
      <c r="L106" s="16">
        <v>45799</v>
      </c>
      <c r="M106" s="12" t="s">
        <v>87</v>
      </c>
      <c r="N106" s="11" t="s">
        <v>41</v>
      </c>
      <c r="O106" s="25">
        <v>36104565</v>
      </c>
      <c r="P106" s="2">
        <v>5</v>
      </c>
      <c r="Q106" s="25">
        <v>1805228.25</v>
      </c>
      <c r="R106" s="25">
        <v>738073.82207526499</v>
      </c>
      <c r="S106" s="25">
        <v>0</v>
      </c>
      <c r="T106" s="25">
        <v>115372</v>
      </c>
      <c r="U106" s="25">
        <v>951782.42792473501</v>
      </c>
      <c r="V106" s="13">
        <v>5769</v>
      </c>
      <c r="W106" s="13">
        <v>0</v>
      </c>
      <c r="X106" s="13">
        <f t="shared" si="2"/>
        <v>0</v>
      </c>
      <c r="Y106" s="13"/>
      <c r="Z106" s="31"/>
      <c r="AA106" s="27"/>
    </row>
    <row r="107" spans="2:27">
      <c r="B107" s="11">
        <v>97</v>
      </c>
      <c r="C107" s="1" t="s">
        <v>337</v>
      </c>
      <c r="D107" s="1" t="s">
        <v>333</v>
      </c>
      <c r="E107" s="1" t="s">
        <v>334</v>
      </c>
      <c r="F107" s="29" t="s">
        <v>38</v>
      </c>
      <c r="G107" s="11">
        <v>2024</v>
      </c>
      <c r="H107" s="16">
        <v>45626</v>
      </c>
      <c r="I107" s="16">
        <v>45991</v>
      </c>
      <c r="J107" s="11">
        <v>2751</v>
      </c>
      <c r="K107" s="12" t="s">
        <v>335</v>
      </c>
      <c r="L107" s="16">
        <v>45803</v>
      </c>
      <c r="M107" s="12" t="s">
        <v>87</v>
      </c>
      <c r="N107" s="11" t="s">
        <v>41</v>
      </c>
      <c r="O107" s="25">
        <v>36104565</v>
      </c>
      <c r="P107" s="2">
        <v>5</v>
      </c>
      <c r="Q107" s="25">
        <v>1805228.25</v>
      </c>
      <c r="R107" s="25">
        <v>738073.82207526499</v>
      </c>
      <c r="S107" s="25">
        <v>0</v>
      </c>
      <c r="T107" s="25">
        <v>89008</v>
      </c>
      <c r="U107" s="25">
        <v>978146.42792473501</v>
      </c>
      <c r="V107" s="13">
        <v>4450</v>
      </c>
      <c r="W107" s="13">
        <v>0</v>
      </c>
      <c r="X107" s="13">
        <f t="shared" si="2"/>
        <v>0</v>
      </c>
      <c r="Y107" s="13"/>
      <c r="Z107" s="31"/>
      <c r="AA107" s="27"/>
    </row>
    <row r="108" spans="2:27">
      <c r="B108" s="11">
        <v>98</v>
      </c>
      <c r="C108" s="1" t="s">
        <v>338</v>
      </c>
      <c r="D108" s="1" t="s">
        <v>333</v>
      </c>
      <c r="E108" s="1" t="s">
        <v>334</v>
      </c>
      <c r="F108" s="29" t="s">
        <v>38</v>
      </c>
      <c r="G108" s="11">
        <v>2024</v>
      </c>
      <c r="H108" s="16">
        <v>45626</v>
      </c>
      <c r="I108" s="16">
        <v>45991</v>
      </c>
      <c r="J108" s="11">
        <v>2751</v>
      </c>
      <c r="K108" s="12" t="s">
        <v>335</v>
      </c>
      <c r="L108" s="16">
        <v>45808</v>
      </c>
      <c r="M108" s="12" t="s">
        <v>87</v>
      </c>
      <c r="N108" s="11" t="s">
        <v>41</v>
      </c>
      <c r="O108" s="25">
        <v>36104565</v>
      </c>
      <c r="P108" s="2">
        <v>5</v>
      </c>
      <c r="Q108" s="25">
        <v>1805228.25</v>
      </c>
      <c r="R108" s="25">
        <v>738073.82207526499</v>
      </c>
      <c r="S108" s="25">
        <v>0</v>
      </c>
      <c r="T108" s="25">
        <v>122770</v>
      </c>
      <c r="U108" s="25">
        <v>944384.42792473501</v>
      </c>
      <c r="V108" s="13">
        <v>6139</v>
      </c>
      <c r="W108" s="13">
        <v>0</v>
      </c>
      <c r="X108" s="13">
        <f t="shared" si="2"/>
        <v>0</v>
      </c>
      <c r="Y108" s="13"/>
      <c r="Z108" s="31"/>
      <c r="AA108" s="27"/>
    </row>
    <row r="109" spans="2:27">
      <c r="B109" s="11">
        <v>99</v>
      </c>
      <c r="C109" s="1" t="s">
        <v>339</v>
      </c>
      <c r="D109" s="1" t="s">
        <v>333</v>
      </c>
      <c r="E109" s="1" t="s">
        <v>334</v>
      </c>
      <c r="F109" s="29" t="s">
        <v>38</v>
      </c>
      <c r="G109" s="11">
        <v>2024</v>
      </c>
      <c r="H109" s="16">
        <v>45626</v>
      </c>
      <c r="I109" s="16">
        <v>45991</v>
      </c>
      <c r="J109" s="11">
        <v>2751</v>
      </c>
      <c r="K109" s="12" t="s">
        <v>335</v>
      </c>
      <c r="L109" s="16">
        <v>45818</v>
      </c>
      <c r="M109" s="12" t="s">
        <v>87</v>
      </c>
      <c r="N109" s="11" t="s">
        <v>41</v>
      </c>
      <c r="O109" s="25">
        <v>36104565</v>
      </c>
      <c r="P109" s="2">
        <v>5</v>
      </c>
      <c r="Q109" s="25">
        <v>1805228.25</v>
      </c>
      <c r="R109" s="25">
        <v>738073.82207526499</v>
      </c>
      <c r="S109" s="25">
        <v>0</v>
      </c>
      <c r="T109" s="25">
        <v>66346</v>
      </c>
      <c r="U109" s="25">
        <v>1000808.427924735</v>
      </c>
      <c r="V109" s="13">
        <v>3317</v>
      </c>
      <c r="W109" s="13">
        <v>0</v>
      </c>
      <c r="X109" s="13">
        <f t="shared" si="2"/>
        <v>0</v>
      </c>
      <c r="Y109" s="13"/>
      <c r="Z109" s="31"/>
      <c r="AA109" s="27"/>
    </row>
    <row r="110" spans="2:27">
      <c r="B110" s="11">
        <v>100</v>
      </c>
      <c r="C110" s="1" t="s">
        <v>340</v>
      </c>
      <c r="D110" s="1" t="s">
        <v>333</v>
      </c>
      <c r="E110" s="1" t="s">
        <v>334</v>
      </c>
      <c r="F110" s="29" t="s">
        <v>38</v>
      </c>
      <c r="G110" s="11">
        <v>2024</v>
      </c>
      <c r="H110" s="16">
        <v>45626</v>
      </c>
      <c r="I110" s="16">
        <v>45991</v>
      </c>
      <c r="J110" s="11">
        <v>2751</v>
      </c>
      <c r="K110" s="12" t="s">
        <v>335</v>
      </c>
      <c r="L110" s="16">
        <v>45807</v>
      </c>
      <c r="M110" s="12" t="s">
        <v>87</v>
      </c>
      <c r="N110" s="11" t="s">
        <v>41</v>
      </c>
      <c r="O110" s="25">
        <v>36104565</v>
      </c>
      <c r="P110" s="2">
        <v>5</v>
      </c>
      <c r="Q110" s="25">
        <v>1805228.25</v>
      </c>
      <c r="R110" s="25">
        <v>738073.82207526499</v>
      </c>
      <c r="S110" s="25">
        <v>0</v>
      </c>
      <c r="T110" s="25">
        <v>89067</v>
      </c>
      <c r="U110" s="25">
        <v>978087.42792473501</v>
      </c>
      <c r="V110" s="13">
        <v>4453</v>
      </c>
      <c r="W110" s="13">
        <v>0</v>
      </c>
      <c r="X110" s="13">
        <f t="shared" si="2"/>
        <v>0</v>
      </c>
      <c r="Y110" s="13"/>
      <c r="Z110" s="31"/>
      <c r="AA110" s="27"/>
    </row>
    <row r="111" spans="2:27">
      <c r="B111" s="11">
        <v>101</v>
      </c>
      <c r="C111" s="1" t="s">
        <v>341</v>
      </c>
      <c r="D111" s="1" t="s">
        <v>333</v>
      </c>
      <c r="E111" s="1" t="s">
        <v>334</v>
      </c>
      <c r="F111" s="29" t="s">
        <v>38</v>
      </c>
      <c r="G111" s="11">
        <v>2024</v>
      </c>
      <c r="H111" s="16">
        <v>45626</v>
      </c>
      <c r="I111" s="16">
        <v>45991</v>
      </c>
      <c r="J111" s="11">
        <v>2751</v>
      </c>
      <c r="K111" s="12" t="s">
        <v>335</v>
      </c>
      <c r="L111" s="16">
        <v>45834</v>
      </c>
      <c r="M111" s="12" t="s">
        <v>87</v>
      </c>
      <c r="N111" s="11" t="s">
        <v>41</v>
      </c>
      <c r="O111" s="25">
        <v>36104565</v>
      </c>
      <c r="P111" s="2">
        <v>5</v>
      </c>
      <c r="Q111" s="25">
        <v>1805228.25</v>
      </c>
      <c r="R111" s="25">
        <v>738073.82207526499</v>
      </c>
      <c r="S111" s="25">
        <v>0</v>
      </c>
      <c r="T111" s="25">
        <v>114530</v>
      </c>
      <c r="U111" s="25">
        <v>952624.42792473501</v>
      </c>
      <c r="V111" s="13">
        <v>5726</v>
      </c>
      <c r="W111" s="13">
        <v>4000000</v>
      </c>
      <c r="X111" s="13">
        <f t="shared" si="2"/>
        <v>200000</v>
      </c>
      <c r="Y111" s="13"/>
      <c r="Z111" s="31"/>
      <c r="AA111" s="27"/>
    </row>
    <row r="112" spans="2:27">
      <c r="B112" s="11">
        <v>102</v>
      </c>
      <c r="C112" s="1" t="s">
        <v>342</v>
      </c>
      <c r="D112" s="1" t="s">
        <v>333</v>
      </c>
      <c r="E112" s="1" t="s">
        <v>334</v>
      </c>
      <c r="F112" s="29" t="s">
        <v>38</v>
      </c>
      <c r="G112" s="11">
        <v>2024</v>
      </c>
      <c r="H112" s="16">
        <v>45626</v>
      </c>
      <c r="I112" s="16">
        <v>45991</v>
      </c>
      <c r="J112" s="11">
        <v>2751</v>
      </c>
      <c r="K112" s="12" t="s">
        <v>335</v>
      </c>
      <c r="L112" s="16">
        <v>45865</v>
      </c>
      <c r="M112" s="12" t="s">
        <v>87</v>
      </c>
      <c r="N112" s="11" t="s">
        <v>41</v>
      </c>
      <c r="O112" s="25">
        <v>36104565</v>
      </c>
      <c r="P112" s="2">
        <v>5</v>
      </c>
      <c r="Q112" s="25">
        <v>1805228.25</v>
      </c>
      <c r="R112" s="25">
        <v>738073.82207526499</v>
      </c>
      <c r="S112" s="25">
        <v>0</v>
      </c>
      <c r="T112" s="25">
        <v>114761</v>
      </c>
      <c r="U112" s="25">
        <v>952393.42792473501</v>
      </c>
      <c r="V112" s="13">
        <v>5738</v>
      </c>
      <c r="W112" s="13">
        <v>4000000</v>
      </c>
      <c r="X112" s="13">
        <f t="shared" si="2"/>
        <v>200000</v>
      </c>
      <c r="Y112" s="13"/>
      <c r="Z112" s="31"/>
      <c r="AA112" s="27"/>
    </row>
    <row r="113" spans="2:27">
      <c r="B113" s="11">
        <v>103</v>
      </c>
      <c r="C113" s="1" t="s">
        <v>343</v>
      </c>
      <c r="D113" s="1" t="s">
        <v>333</v>
      </c>
      <c r="E113" s="1" t="s">
        <v>334</v>
      </c>
      <c r="F113" s="29" t="s">
        <v>38</v>
      </c>
      <c r="G113" s="11">
        <v>2024</v>
      </c>
      <c r="H113" s="16">
        <v>45626</v>
      </c>
      <c r="I113" s="16">
        <v>45991</v>
      </c>
      <c r="J113" s="11">
        <v>2751</v>
      </c>
      <c r="K113" s="12" t="s">
        <v>335</v>
      </c>
      <c r="L113" s="16">
        <v>45868</v>
      </c>
      <c r="M113" s="12" t="s">
        <v>87</v>
      </c>
      <c r="N113" s="11" t="s">
        <v>41</v>
      </c>
      <c r="O113" s="25">
        <v>36104565</v>
      </c>
      <c r="P113" s="2">
        <v>5</v>
      </c>
      <c r="Q113" s="25">
        <v>1805228.25</v>
      </c>
      <c r="R113" s="25">
        <v>738073.82207526499</v>
      </c>
      <c r="S113" s="25">
        <v>0</v>
      </c>
      <c r="T113" s="25">
        <v>115282</v>
      </c>
      <c r="U113" s="25">
        <v>951872.42792473501</v>
      </c>
      <c r="V113" s="13">
        <v>5764</v>
      </c>
      <c r="W113" s="13">
        <v>4000000</v>
      </c>
      <c r="X113" s="13">
        <f t="shared" si="2"/>
        <v>200000</v>
      </c>
      <c r="Y113" s="13"/>
      <c r="Z113" s="31"/>
      <c r="AA113" s="27"/>
    </row>
    <row r="114" spans="2:27">
      <c r="B114" s="11">
        <v>104</v>
      </c>
      <c r="C114" s="1" t="s">
        <v>344</v>
      </c>
      <c r="D114" s="1" t="s">
        <v>333</v>
      </c>
      <c r="E114" s="1" t="s">
        <v>334</v>
      </c>
      <c r="F114" s="29" t="s">
        <v>38</v>
      </c>
      <c r="G114" s="11">
        <v>2024</v>
      </c>
      <c r="H114" s="16">
        <v>45626</v>
      </c>
      <c r="I114" s="16">
        <v>45991</v>
      </c>
      <c r="J114" s="11">
        <v>2751</v>
      </c>
      <c r="K114" s="12" t="s">
        <v>335</v>
      </c>
      <c r="L114" s="16">
        <v>45865</v>
      </c>
      <c r="M114" s="12" t="s">
        <v>87</v>
      </c>
      <c r="N114" s="11" t="s">
        <v>41</v>
      </c>
      <c r="O114" s="25">
        <v>36104565</v>
      </c>
      <c r="P114" s="2">
        <v>5</v>
      </c>
      <c r="Q114" s="25">
        <v>1805228.25</v>
      </c>
      <c r="R114" s="25">
        <v>738073.82207526499</v>
      </c>
      <c r="S114" s="25">
        <v>0</v>
      </c>
      <c r="T114" s="25">
        <v>114761</v>
      </c>
      <c r="U114" s="25">
        <v>952393.42792473501</v>
      </c>
      <c r="V114" s="13">
        <v>5738</v>
      </c>
      <c r="W114" s="13">
        <v>4000000</v>
      </c>
      <c r="X114" s="13">
        <f t="shared" si="2"/>
        <v>200000</v>
      </c>
      <c r="Y114" s="13"/>
      <c r="Z114" s="31"/>
      <c r="AA114" s="27"/>
    </row>
    <row r="115" spans="2:27">
      <c r="B115" s="11">
        <v>105</v>
      </c>
      <c r="C115" s="1" t="s">
        <v>345</v>
      </c>
      <c r="D115" s="1" t="s">
        <v>346</v>
      </c>
      <c r="E115" s="1" t="s">
        <v>186</v>
      </c>
      <c r="F115" s="29" t="s">
        <v>38</v>
      </c>
      <c r="G115" s="11">
        <v>2024</v>
      </c>
      <c r="H115" s="16">
        <v>45657</v>
      </c>
      <c r="I115" s="16">
        <v>46022</v>
      </c>
      <c r="J115" s="11">
        <v>2971</v>
      </c>
      <c r="K115" s="12" t="s">
        <v>187</v>
      </c>
      <c r="L115" s="16">
        <v>45664</v>
      </c>
      <c r="M115" s="12" t="s">
        <v>87</v>
      </c>
      <c r="N115" s="11" t="s">
        <v>41</v>
      </c>
      <c r="O115" s="25">
        <v>20202000</v>
      </c>
      <c r="P115" s="2">
        <v>5</v>
      </c>
      <c r="Q115" s="25">
        <v>1010100</v>
      </c>
      <c r="R115" s="25">
        <v>472500.71117904398</v>
      </c>
      <c r="S115" s="25">
        <v>0</v>
      </c>
      <c r="T115" s="25">
        <v>135757</v>
      </c>
      <c r="U115" s="25">
        <v>401842.28882095602</v>
      </c>
      <c r="V115" s="13">
        <v>6788</v>
      </c>
      <c r="W115" s="13">
        <v>0</v>
      </c>
      <c r="X115" s="13">
        <f t="shared" si="2"/>
        <v>0</v>
      </c>
      <c r="Y115" s="13"/>
      <c r="Z115" s="31"/>
      <c r="AA115" s="27"/>
    </row>
    <row r="116" spans="2:27">
      <c r="B116" s="11">
        <v>106</v>
      </c>
      <c r="C116" s="1" t="s">
        <v>347</v>
      </c>
      <c r="D116" s="1" t="s">
        <v>346</v>
      </c>
      <c r="E116" s="1" t="s">
        <v>186</v>
      </c>
      <c r="F116" s="29" t="s">
        <v>38</v>
      </c>
      <c r="G116" s="11">
        <v>2024</v>
      </c>
      <c r="H116" s="16">
        <v>45657</v>
      </c>
      <c r="I116" s="16">
        <v>46022</v>
      </c>
      <c r="J116" s="11">
        <v>2971</v>
      </c>
      <c r="K116" s="12" t="s">
        <v>187</v>
      </c>
      <c r="L116" s="16">
        <v>45697</v>
      </c>
      <c r="M116" s="12" t="s">
        <v>87</v>
      </c>
      <c r="N116" s="11" t="s">
        <v>41</v>
      </c>
      <c r="O116" s="25">
        <v>20202000</v>
      </c>
      <c r="P116" s="2">
        <v>5</v>
      </c>
      <c r="Q116" s="25">
        <v>1010100</v>
      </c>
      <c r="R116" s="25">
        <v>472500.71117904398</v>
      </c>
      <c r="S116" s="25">
        <v>0</v>
      </c>
      <c r="T116" s="25">
        <v>174122</v>
      </c>
      <c r="U116" s="25">
        <v>363477.28882095602</v>
      </c>
      <c r="V116" s="13">
        <v>8706</v>
      </c>
      <c r="W116" s="13">
        <v>0</v>
      </c>
      <c r="X116" s="13">
        <f t="shared" si="2"/>
        <v>0</v>
      </c>
      <c r="Y116" s="13"/>
      <c r="Z116" s="31"/>
      <c r="AA116" s="27"/>
    </row>
    <row r="117" spans="2:27">
      <c r="B117" s="11">
        <v>107</v>
      </c>
      <c r="C117" s="1" t="s">
        <v>348</v>
      </c>
      <c r="D117" s="1" t="s">
        <v>346</v>
      </c>
      <c r="E117" s="1" t="s">
        <v>186</v>
      </c>
      <c r="F117" s="29" t="s">
        <v>38</v>
      </c>
      <c r="G117" s="11">
        <v>2024</v>
      </c>
      <c r="H117" s="16">
        <v>45657</v>
      </c>
      <c r="I117" s="16">
        <v>46022</v>
      </c>
      <c r="J117" s="11">
        <v>2971</v>
      </c>
      <c r="K117" s="12" t="s">
        <v>187</v>
      </c>
      <c r="L117" s="16">
        <v>45716</v>
      </c>
      <c r="M117" s="12" t="s">
        <v>87</v>
      </c>
      <c r="N117" s="11" t="s">
        <v>41</v>
      </c>
      <c r="O117" s="25">
        <v>20202000</v>
      </c>
      <c r="P117" s="2">
        <v>5</v>
      </c>
      <c r="Q117" s="25">
        <v>1010100</v>
      </c>
      <c r="R117" s="25">
        <v>472500.71117904398</v>
      </c>
      <c r="S117" s="25">
        <v>0</v>
      </c>
      <c r="T117" s="25">
        <v>227246</v>
      </c>
      <c r="U117" s="25">
        <v>310353.28882095602</v>
      </c>
      <c r="V117" s="13">
        <v>11362</v>
      </c>
      <c r="W117" s="13">
        <v>0</v>
      </c>
      <c r="X117" s="13">
        <f t="shared" si="2"/>
        <v>0</v>
      </c>
      <c r="Y117" s="13"/>
      <c r="Z117" s="31"/>
      <c r="AA117" s="27"/>
    </row>
    <row r="118" spans="2:27">
      <c r="B118" s="11">
        <v>108</v>
      </c>
      <c r="C118" s="1" t="s">
        <v>349</v>
      </c>
      <c r="D118" s="1" t="s">
        <v>350</v>
      </c>
      <c r="E118" s="1" t="s">
        <v>351</v>
      </c>
      <c r="F118" s="29" t="s">
        <v>38</v>
      </c>
      <c r="G118" s="11">
        <v>2024</v>
      </c>
      <c r="H118" s="16">
        <v>45350</v>
      </c>
      <c r="I118" s="16">
        <v>45716</v>
      </c>
      <c r="J118" s="11">
        <v>2975</v>
      </c>
      <c r="K118" s="12" t="s">
        <v>352</v>
      </c>
      <c r="L118" s="16">
        <v>45630</v>
      </c>
      <c r="M118" s="12" t="s">
        <v>87</v>
      </c>
      <c r="N118" s="11" t="s">
        <v>41</v>
      </c>
      <c r="O118" s="25">
        <v>96342903</v>
      </c>
      <c r="P118" s="2">
        <v>12.5</v>
      </c>
      <c r="Q118" s="25">
        <v>12042862.875</v>
      </c>
      <c r="R118" s="25">
        <v>2083540.2897923901</v>
      </c>
      <c r="S118" s="25">
        <v>0</v>
      </c>
      <c r="T118" s="25">
        <v>2519318</v>
      </c>
      <c r="U118" s="25">
        <v>7440004.5852076095</v>
      </c>
      <c r="V118" s="13">
        <v>125966</v>
      </c>
      <c r="W118" s="13">
        <v>0</v>
      </c>
      <c r="X118" s="13">
        <f t="shared" si="2"/>
        <v>0</v>
      </c>
      <c r="Y118" s="13"/>
      <c r="Z118" s="31"/>
      <c r="AA118" s="27"/>
    </row>
    <row r="119" spans="2:27">
      <c r="B119" s="11">
        <v>109</v>
      </c>
      <c r="C119" s="1" t="s">
        <v>353</v>
      </c>
      <c r="D119" s="1" t="s">
        <v>350</v>
      </c>
      <c r="E119" s="1" t="s">
        <v>351</v>
      </c>
      <c r="F119" s="29" t="s">
        <v>38</v>
      </c>
      <c r="G119" s="11">
        <v>2024</v>
      </c>
      <c r="H119" s="16">
        <v>45350</v>
      </c>
      <c r="I119" s="16">
        <v>45716</v>
      </c>
      <c r="J119" s="11">
        <v>2975</v>
      </c>
      <c r="K119" s="12" t="s">
        <v>352</v>
      </c>
      <c r="L119" s="16">
        <v>45644</v>
      </c>
      <c r="M119" s="12" t="s">
        <v>87</v>
      </c>
      <c r="N119" s="11" t="s">
        <v>41</v>
      </c>
      <c r="O119" s="25">
        <v>96342903</v>
      </c>
      <c r="P119" s="2">
        <v>12.5</v>
      </c>
      <c r="Q119" s="25">
        <v>12042862.875</v>
      </c>
      <c r="R119" s="25">
        <v>2083540.2897923901</v>
      </c>
      <c r="S119" s="25">
        <v>0</v>
      </c>
      <c r="T119" s="25">
        <v>7436533</v>
      </c>
      <c r="U119" s="25">
        <v>2522789.5852076095</v>
      </c>
      <c r="V119" s="13">
        <v>371827</v>
      </c>
      <c r="W119" s="13">
        <v>72004064</v>
      </c>
      <c r="X119" s="13">
        <f t="shared" si="2"/>
        <v>3600203.2</v>
      </c>
      <c r="Y119" s="13"/>
      <c r="Z119" s="31"/>
      <c r="AA119" s="27"/>
    </row>
    <row r="120" spans="2:27">
      <c r="B120" s="11">
        <v>110</v>
      </c>
      <c r="C120" s="1" t="s">
        <v>354</v>
      </c>
      <c r="D120" s="1" t="s">
        <v>355</v>
      </c>
      <c r="E120" s="1" t="s">
        <v>356</v>
      </c>
      <c r="F120" s="29" t="s">
        <v>38</v>
      </c>
      <c r="G120" s="11">
        <v>2024</v>
      </c>
      <c r="H120" s="16">
        <v>45350</v>
      </c>
      <c r="I120" s="16">
        <v>45716</v>
      </c>
      <c r="J120" s="11">
        <v>2975</v>
      </c>
      <c r="K120" s="12" t="s">
        <v>357</v>
      </c>
      <c r="L120" s="16">
        <v>45355</v>
      </c>
      <c r="M120" s="12" t="s">
        <v>87</v>
      </c>
      <c r="N120" s="11" t="s">
        <v>41</v>
      </c>
      <c r="O120" s="25">
        <v>21650000</v>
      </c>
      <c r="P120" s="2">
        <v>12.5</v>
      </c>
      <c r="Q120" s="25">
        <v>2706250</v>
      </c>
      <c r="R120" s="25">
        <v>349080.94163182098</v>
      </c>
      <c r="S120" s="25">
        <v>0</v>
      </c>
      <c r="T120" s="25">
        <v>1774353</v>
      </c>
      <c r="U120" s="25">
        <v>582816.05836817902</v>
      </c>
      <c r="V120" s="13">
        <v>88718</v>
      </c>
      <c r="W120" s="13">
        <v>0</v>
      </c>
      <c r="X120" s="13">
        <f t="shared" si="2"/>
        <v>0</v>
      </c>
      <c r="Y120" s="13"/>
      <c r="Z120" s="31"/>
      <c r="AA120" s="27"/>
    </row>
    <row r="121" spans="2:27">
      <c r="B121" s="11">
        <v>111</v>
      </c>
      <c r="C121" s="1" t="s">
        <v>358</v>
      </c>
      <c r="D121" s="1" t="s">
        <v>355</v>
      </c>
      <c r="E121" s="1" t="s">
        <v>356</v>
      </c>
      <c r="F121" s="29" t="s">
        <v>38</v>
      </c>
      <c r="G121" s="11">
        <v>2024</v>
      </c>
      <c r="H121" s="16">
        <v>45350</v>
      </c>
      <c r="I121" s="16">
        <v>45716</v>
      </c>
      <c r="J121" s="11">
        <v>2975</v>
      </c>
      <c r="K121" s="12" t="s">
        <v>357</v>
      </c>
      <c r="L121" s="16">
        <v>45672</v>
      </c>
      <c r="M121" s="12" t="s">
        <v>87</v>
      </c>
      <c r="N121" s="11" t="s">
        <v>41</v>
      </c>
      <c r="O121" s="25">
        <v>21650000</v>
      </c>
      <c r="P121" s="2">
        <v>12.5</v>
      </c>
      <c r="Q121" s="25">
        <v>2706250</v>
      </c>
      <c r="R121" s="25">
        <v>349080.94163182098</v>
      </c>
      <c r="S121" s="25">
        <v>0</v>
      </c>
      <c r="T121" s="25">
        <v>582381</v>
      </c>
      <c r="U121" s="25">
        <v>1774788.058368179</v>
      </c>
      <c r="V121" s="13">
        <v>29119</v>
      </c>
      <c r="W121" s="13">
        <v>0</v>
      </c>
      <c r="X121" s="13">
        <f t="shared" si="2"/>
        <v>0</v>
      </c>
      <c r="Y121" s="13"/>
      <c r="Z121" s="31"/>
      <c r="AA121" s="27"/>
    </row>
    <row r="122" spans="2:27">
      <c r="B122" s="11">
        <v>112</v>
      </c>
      <c r="C122" s="1" t="s">
        <v>359</v>
      </c>
      <c r="D122" s="1" t="s">
        <v>360</v>
      </c>
      <c r="E122" s="1" t="s">
        <v>361</v>
      </c>
      <c r="F122" s="29" t="s">
        <v>38</v>
      </c>
      <c r="G122" s="11">
        <v>2024</v>
      </c>
      <c r="H122" s="16">
        <v>45505</v>
      </c>
      <c r="I122" s="16">
        <v>46022</v>
      </c>
      <c r="J122" s="11">
        <v>29313</v>
      </c>
      <c r="K122" s="12" t="s">
        <v>362</v>
      </c>
      <c r="L122" s="16">
        <v>45722</v>
      </c>
      <c r="M122" s="12" t="s">
        <v>87</v>
      </c>
      <c r="N122" s="11" t="s">
        <v>41</v>
      </c>
      <c r="O122" s="25">
        <v>5635350</v>
      </c>
      <c r="P122" s="2">
        <v>11.5</v>
      </c>
      <c r="Q122" s="25">
        <v>648065.25</v>
      </c>
      <c r="R122" s="25">
        <v>347289.44124897302</v>
      </c>
      <c r="S122" s="25">
        <v>0</v>
      </c>
      <c r="T122" s="25">
        <v>300243</v>
      </c>
      <c r="U122" s="25">
        <v>532.80875102698337</v>
      </c>
      <c r="V122" s="13">
        <v>15012</v>
      </c>
      <c r="W122" s="13">
        <v>0</v>
      </c>
      <c r="X122" s="13">
        <f t="shared" si="2"/>
        <v>0</v>
      </c>
      <c r="Y122" s="13"/>
      <c r="Z122" s="31"/>
      <c r="AA122" s="27"/>
    </row>
    <row r="123" spans="2:27">
      <c r="B123" s="11">
        <v>113</v>
      </c>
      <c r="C123" s="1" t="s">
        <v>363</v>
      </c>
      <c r="D123" s="1" t="s">
        <v>364</v>
      </c>
      <c r="E123" s="1" t="s">
        <v>365</v>
      </c>
      <c r="F123" s="29" t="s">
        <v>38</v>
      </c>
      <c r="G123" s="11">
        <v>2024</v>
      </c>
      <c r="H123" s="16">
        <v>45657</v>
      </c>
      <c r="I123" s="16">
        <v>46022</v>
      </c>
      <c r="J123" s="11">
        <v>2974</v>
      </c>
      <c r="K123" s="12" t="s">
        <v>366</v>
      </c>
      <c r="L123" s="16">
        <v>45690</v>
      </c>
      <c r="M123" s="12" t="s">
        <v>87</v>
      </c>
      <c r="N123" s="11" t="s">
        <v>41</v>
      </c>
      <c r="O123" s="25">
        <v>13820000</v>
      </c>
      <c r="P123" s="2">
        <v>10</v>
      </c>
      <c r="Q123" s="25">
        <v>1382000</v>
      </c>
      <c r="R123" s="25">
        <v>306037.30554894399</v>
      </c>
      <c r="S123" s="25">
        <v>0</v>
      </c>
      <c r="T123" s="25">
        <v>529216</v>
      </c>
      <c r="U123" s="25">
        <v>546746.69445105596</v>
      </c>
      <c r="V123" s="13">
        <v>26461</v>
      </c>
      <c r="W123" s="13">
        <v>0</v>
      </c>
      <c r="X123" s="13">
        <f t="shared" si="2"/>
        <v>0</v>
      </c>
      <c r="Y123" s="13"/>
      <c r="Z123" s="31"/>
      <c r="AA123" s="27"/>
    </row>
    <row r="124" spans="2:27">
      <c r="B124" s="11">
        <v>114</v>
      </c>
      <c r="C124" s="1" t="s">
        <v>367</v>
      </c>
      <c r="D124" s="1" t="s">
        <v>364</v>
      </c>
      <c r="E124" s="1" t="s">
        <v>365</v>
      </c>
      <c r="F124" s="29" t="s">
        <v>38</v>
      </c>
      <c r="G124" s="11">
        <v>2024</v>
      </c>
      <c r="H124" s="16">
        <v>45657</v>
      </c>
      <c r="I124" s="16">
        <v>46022</v>
      </c>
      <c r="J124" s="11">
        <v>2974</v>
      </c>
      <c r="K124" s="12" t="s">
        <v>366</v>
      </c>
      <c r="L124" s="16">
        <v>45836</v>
      </c>
      <c r="M124" s="12" t="s">
        <v>87</v>
      </c>
      <c r="N124" s="11" t="s">
        <v>41</v>
      </c>
      <c r="O124" s="25">
        <v>13820000</v>
      </c>
      <c r="P124" s="2">
        <v>10</v>
      </c>
      <c r="Q124" s="25">
        <v>1382000</v>
      </c>
      <c r="R124" s="25">
        <v>306037.30554894399</v>
      </c>
      <c r="S124" s="25">
        <v>0</v>
      </c>
      <c r="T124" s="25">
        <v>546339</v>
      </c>
      <c r="U124" s="25">
        <v>529623.69445105596</v>
      </c>
      <c r="V124" s="13">
        <v>27317</v>
      </c>
      <c r="W124" s="13">
        <v>10000000</v>
      </c>
      <c r="X124" s="13">
        <f t="shared" si="2"/>
        <v>500000</v>
      </c>
      <c r="Y124" s="13"/>
      <c r="Z124" s="31"/>
      <c r="AA124" s="27"/>
    </row>
    <row r="125" spans="2:27">
      <c r="B125" s="11">
        <v>115</v>
      </c>
      <c r="C125" s="1" t="s">
        <v>368</v>
      </c>
      <c r="D125" s="1" t="s">
        <v>369</v>
      </c>
      <c r="E125" s="1" t="s">
        <v>370</v>
      </c>
      <c r="F125" s="29" t="s">
        <v>38</v>
      </c>
      <c r="G125" s="11">
        <v>2024</v>
      </c>
      <c r="H125" s="16">
        <v>45657</v>
      </c>
      <c r="I125" s="16">
        <v>46022</v>
      </c>
      <c r="J125" s="11" t="s">
        <v>99</v>
      </c>
      <c r="K125" s="12" t="s">
        <v>371</v>
      </c>
      <c r="L125" s="16">
        <v>45758</v>
      </c>
      <c r="M125" s="12" t="s">
        <v>87</v>
      </c>
      <c r="N125" s="11" t="s">
        <v>41</v>
      </c>
      <c r="O125" s="25">
        <v>6000000</v>
      </c>
      <c r="P125" s="2">
        <v>10</v>
      </c>
      <c r="Q125" s="25">
        <v>600000</v>
      </c>
      <c r="R125" s="25">
        <v>326895.01969117601</v>
      </c>
      <c r="S125" s="25">
        <v>0</v>
      </c>
      <c r="T125" s="25">
        <v>272668</v>
      </c>
      <c r="U125" s="25">
        <v>436.98030882398598</v>
      </c>
      <c r="V125" s="13">
        <v>13633</v>
      </c>
      <c r="W125" s="13">
        <v>19000000</v>
      </c>
      <c r="X125" s="13">
        <f t="shared" si="2"/>
        <v>950000</v>
      </c>
      <c r="Y125" s="13"/>
      <c r="Z125" s="31"/>
      <c r="AA125" s="27"/>
    </row>
    <row r="126" spans="2:27">
      <c r="B126" s="11">
        <v>116</v>
      </c>
      <c r="C126" s="1" t="s">
        <v>372</v>
      </c>
      <c r="D126" s="1" t="s">
        <v>373</v>
      </c>
      <c r="E126" s="1" t="s">
        <v>374</v>
      </c>
      <c r="F126" s="29" t="s">
        <v>38</v>
      </c>
      <c r="G126" s="11">
        <v>2024</v>
      </c>
      <c r="H126" s="16">
        <v>45657</v>
      </c>
      <c r="I126" s="16">
        <v>46022</v>
      </c>
      <c r="J126" s="11">
        <v>2975</v>
      </c>
      <c r="K126" s="12" t="s">
        <v>375</v>
      </c>
      <c r="L126" s="16">
        <v>45671</v>
      </c>
      <c r="M126" s="12" t="s">
        <v>87</v>
      </c>
      <c r="N126" s="11" t="s">
        <v>41</v>
      </c>
      <c r="O126" s="25">
        <v>53456490</v>
      </c>
      <c r="P126" s="2">
        <v>10</v>
      </c>
      <c r="Q126" s="25">
        <v>5345649</v>
      </c>
      <c r="R126" s="25">
        <v>3076927.6669224901</v>
      </c>
      <c r="S126" s="25">
        <v>0</v>
      </c>
      <c r="T126" s="25">
        <v>2264618</v>
      </c>
      <c r="U126" s="25">
        <v>4103.3330775098875</v>
      </c>
      <c r="V126" s="13">
        <v>113231</v>
      </c>
      <c r="W126" s="13">
        <v>0</v>
      </c>
      <c r="X126" s="13">
        <f t="shared" si="2"/>
        <v>0</v>
      </c>
      <c r="Y126" s="13"/>
      <c r="Z126" s="31"/>
      <c r="AA126" s="27"/>
    </row>
    <row r="127" spans="2:27">
      <c r="B127" s="11">
        <v>117</v>
      </c>
      <c r="C127" s="1" t="s">
        <v>376</v>
      </c>
      <c r="D127" s="1" t="s">
        <v>377</v>
      </c>
      <c r="E127" s="1" t="s">
        <v>378</v>
      </c>
      <c r="F127" s="29" t="s">
        <v>38</v>
      </c>
      <c r="G127" s="11">
        <v>2024</v>
      </c>
      <c r="H127" s="16">
        <v>45657</v>
      </c>
      <c r="I127" s="16">
        <v>46022</v>
      </c>
      <c r="J127" s="11">
        <v>29371</v>
      </c>
      <c r="K127" s="12" t="s">
        <v>86</v>
      </c>
      <c r="L127" s="16">
        <v>45771</v>
      </c>
      <c r="M127" s="12" t="s">
        <v>87</v>
      </c>
      <c r="N127" s="11" t="s">
        <v>41</v>
      </c>
      <c r="O127" s="25">
        <v>12250000</v>
      </c>
      <c r="P127" s="2">
        <v>20</v>
      </c>
      <c r="Q127" s="25">
        <v>2450000</v>
      </c>
      <c r="R127" s="25">
        <v>818890.58892825397</v>
      </c>
      <c r="S127" s="25">
        <v>0</v>
      </c>
      <c r="T127" s="25">
        <v>1629471</v>
      </c>
      <c r="U127" s="25">
        <v>1638.4110717461444</v>
      </c>
      <c r="V127" s="13">
        <v>81474</v>
      </c>
      <c r="W127" s="13">
        <v>0</v>
      </c>
      <c r="X127" s="13">
        <f t="shared" si="2"/>
        <v>0</v>
      </c>
      <c r="Y127" s="13"/>
      <c r="Z127" s="31"/>
      <c r="AA127" s="27"/>
    </row>
    <row r="128" spans="2:27">
      <c r="B128" s="11">
        <v>118</v>
      </c>
      <c r="C128" s="1" t="s">
        <v>379</v>
      </c>
      <c r="D128" s="1" t="s">
        <v>380</v>
      </c>
      <c r="E128" s="1" t="s">
        <v>381</v>
      </c>
      <c r="F128" s="29" t="s">
        <v>38</v>
      </c>
      <c r="G128" s="11">
        <v>2024</v>
      </c>
      <c r="H128" s="16">
        <v>45657</v>
      </c>
      <c r="I128" s="16">
        <v>46022</v>
      </c>
      <c r="J128" s="11">
        <v>2975</v>
      </c>
      <c r="K128" s="12" t="s">
        <v>375</v>
      </c>
      <c r="L128" s="16">
        <v>45776</v>
      </c>
      <c r="M128" s="12" t="s">
        <v>87</v>
      </c>
      <c r="N128" s="11" t="s">
        <v>41</v>
      </c>
      <c r="O128" s="25">
        <v>7200000</v>
      </c>
      <c r="P128" s="2">
        <v>10</v>
      </c>
      <c r="Q128" s="25">
        <v>720000</v>
      </c>
      <c r="R128" s="25">
        <v>150000</v>
      </c>
      <c r="S128" s="25">
        <v>0</v>
      </c>
      <c r="T128" s="25">
        <v>569800</v>
      </c>
      <c r="U128" s="25">
        <v>200</v>
      </c>
      <c r="V128" s="13">
        <v>28490</v>
      </c>
      <c r="W128" s="13">
        <v>20000000</v>
      </c>
      <c r="X128" s="13">
        <f t="shared" si="2"/>
        <v>1000000</v>
      </c>
      <c r="Y128" s="13"/>
      <c r="Z128" s="31"/>
      <c r="AA128" s="27"/>
    </row>
    <row r="129" spans="2:27">
      <c r="B129" s="11">
        <v>119</v>
      </c>
      <c r="C129" s="1" t="s">
        <v>382</v>
      </c>
      <c r="D129" s="1" t="s">
        <v>383</v>
      </c>
      <c r="E129" s="1" t="s">
        <v>384</v>
      </c>
      <c r="F129" s="29" t="s">
        <v>38</v>
      </c>
      <c r="G129" s="11">
        <v>2024</v>
      </c>
      <c r="H129" s="16">
        <v>45657</v>
      </c>
      <c r="I129" s="16">
        <v>46022</v>
      </c>
      <c r="J129" s="11">
        <v>2975</v>
      </c>
      <c r="K129" s="12" t="s">
        <v>375</v>
      </c>
      <c r="L129" s="16">
        <v>45709</v>
      </c>
      <c r="M129" s="12" t="s">
        <v>87</v>
      </c>
      <c r="N129" s="11" t="s">
        <v>41</v>
      </c>
      <c r="O129" s="25">
        <v>1960000</v>
      </c>
      <c r="P129" s="2">
        <v>10</v>
      </c>
      <c r="Q129" s="25">
        <v>196000</v>
      </c>
      <c r="R129" s="25">
        <v>73500</v>
      </c>
      <c r="S129" s="25">
        <v>0</v>
      </c>
      <c r="T129" s="25">
        <v>122402</v>
      </c>
      <c r="U129" s="25">
        <v>98</v>
      </c>
      <c r="V129" s="13">
        <v>6120</v>
      </c>
      <c r="W129" s="13">
        <v>0</v>
      </c>
      <c r="X129" s="13">
        <f t="shared" si="2"/>
        <v>0</v>
      </c>
      <c r="Y129" s="13"/>
      <c r="Z129" s="31"/>
      <c r="AA129" s="27"/>
    </row>
    <row r="130" spans="2:27">
      <c r="B130" s="11">
        <v>120</v>
      </c>
      <c r="C130" s="1" t="s">
        <v>385</v>
      </c>
      <c r="D130" s="1" t="s">
        <v>386</v>
      </c>
      <c r="E130" s="1" t="s">
        <v>387</v>
      </c>
      <c r="F130" s="29" t="s">
        <v>38</v>
      </c>
      <c r="G130" s="11">
        <v>2024</v>
      </c>
      <c r="H130" s="16">
        <v>45692</v>
      </c>
      <c r="I130" s="16">
        <v>46022</v>
      </c>
      <c r="J130" s="11">
        <v>29371</v>
      </c>
      <c r="K130" s="12" t="s">
        <v>388</v>
      </c>
      <c r="L130" s="16">
        <v>45750</v>
      </c>
      <c r="M130" s="12" t="s">
        <v>87</v>
      </c>
      <c r="N130" s="11" t="s">
        <v>41</v>
      </c>
      <c r="O130" s="25">
        <v>22963232</v>
      </c>
      <c r="P130" s="2">
        <v>20</v>
      </c>
      <c r="Q130" s="25">
        <v>4592646.4000000004</v>
      </c>
      <c r="R130" s="25">
        <v>2749798.9624114898</v>
      </c>
      <c r="S130" s="25">
        <v>0</v>
      </c>
      <c r="T130" s="25">
        <v>1837348</v>
      </c>
      <c r="U130" s="25">
        <v>5499.4375885105692</v>
      </c>
      <c r="V130" s="13">
        <v>91867</v>
      </c>
      <c r="W130" s="13">
        <v>29000000</v>
      </c>
      <c r="X130" s="13">
        <f t="shared" si="2"/>
        <v>1450000</v>
      </c>
      <c r="Y130" s="13"/>
      <c r="Z130" s="31"/>
      <c r="AA130" s="27"/>
    </row>
    <row r="131" spans="2:27">
      <c r="B131" s="11">
        <v>121</v>
      </c>
      <c r="C131" s="1" t="s">
        <v>389</v>
      </c>
      <c r="D131" s="1" t="s">
        <v>390</v>
      </c>
      <c r="E131" s="1" t="s">
        <v>391</v>
      </c>
      <c r="F131" s="29" t="s">
        <v>38</v>
      </c>
      <c r="G131" s="11">
        <v>2024</v>
      </c>
      <c r="H131" s="16">
        <v>45657</v>
      </c>
      <c r="I131" s="16">
        <v>46022</v>
      </c>
      <c r="J131" s="11">
        <v>2975</v>
      </c>
      <c r="K131" s="12" t="s">
        <v>205</v>
      </c>
      <c r="L131" s="16">
        <v>45769</v>
      </c>
      <c r="M131" s="12" t="s">
        <v>87</v>
      </c>
      <c r="N131" s="11" t="s">
        <v>41</v>
      </c>
      <c r="O131" s="25">
        <v>6822394</v>
      </c>
      <c r="P131" s="2">
        <v>10</v>
      </c>
      <c r="Q131" s="25">
        <v>682239.4</v>
      </c>
      <c r="R131" s="25">
        <v>204671.82</v>
      </c>
      <c r="S131" s="25">
        <v>0</v>
      </c>
      <c r="T131" s="25">
        <v>108158</v>
      </c>
      <c r="U131" s="25">
        <v>369409.58</v>
      </c>
      <c r="V131" s="13">
        <v>5408</v>
      </c>
      <c r="W131" s="13">
        <v>0</v>
      </c>
      <c r="X131" s="13">
        <f t="shared" si="2"/>
        <v>0</v>
      </c>
      <c r="Y131" s="13"/>
      <c r="Z131" s="31"/>
      <c r="AA131" s="27"/>
    </row>
    <row r="132" spans="2:27">
      <c r="B132" s="11">
        <v>122</v>
      </c>
      <c r="C132" s="1" t="s">
        <v>392</v>
      </c>
      <c r="D132" s="1" t="s">
        <v>390</v>
      </c>
      <c r="E132" s="1" t="s">
        <v>391</v>
      </c>
      <c r="F132" s="29" t="s">
        <v>38</v>
      </c>
      <c r="G132" s="11">
        <v>2024</v>
      </c>
      <c r="H132" s="16">
        <v>45657</v>
      </c>
      <c r="I132" s="16">
        <v>46022</v>
      </c>
      <c r="J132" s="11">
        <v>2975</v>
      </c>
      <c r="K132" s="12" t="s">
        <v>205</v>
      </c>
      <c r="L132" s="16">
        <v>45790</v>
      </c>
      <c r="M132" s="12" t="s">
        <v>87</v>
      </c>
      <c r="N132" s="11" t="s">
        <v>41</v>
      </c>
      <c r="O132" s="25">
        <v>6822394</v>
      </c>
      <c r="P132" s="2">
        <v>10</v>
      </c>
      <c r="Q132" s="25">
        <v>682239.4</v>
      </c>
      <c r="R132" s="25">
        <v>204671.82</v>
      </c>
      <c r="S132" s="25">
        <v>0</v>
      </c>
      <c r="T132" s="25">
        <v>211727</v>
      </c>
      <c r="U132" s="25">
        <v>265840.58</v>
      </c>
      <c r="V132" s="13">
        <v>10586</v>
      </c>
      <c r="W132" s="13">
        <v>9500000</v>
      </c>
      <c r="X132" s="13">
        <f t="shared" si="2"/>
        <v>475000</v>
      </c>
      <c r="Y132" s="13"/>
      <c r="Z132" s="31"/>
      <c r="AA132" s="27"/>
    </row>
    <row r="133" spans="2:27">
      <c r="B133" s="11">
        <v>123</v>
      </c>
      <c r="C133" s="1" t="s">
        <v>393</v>
      </c>
      <c r="D133" s="1" t="s">
        <v>390</v>
      </c>
      <c r="E133" s="1" t="s">
        <v>391</v>
      </c>
      <c r="F133" s="29" t="s">
        <v>38</v>
      </c>
      <c r="G133" s="11">
        <v>2024</v>
      </c>
      <c r="H133" s="16">
        <v>45657</v>
      </c>
      <c r="I133" s="16">
        <v>46022</v>
      </c>
      <c r="J133" s="11">
        <v>2975</v>
      </c>
      <c r="K133" s="12" t="s">
        <v>205</v>
      </c>
      <c r="L133" s="16">
        <v>45821</v>
      </c>
      <c r="M133" s="12" t="s">
        <v>87</v>
      </c>
      <c r="N133" s="11" t="s">
        <v>41</v>
      </c>
      <c r="O133" s="25">
        <v>6822394</v>
      </c>
      <c r="P133" s="2">
        <v>10</v>
      </c>
      <c r="Q133" s="25">
        <v>682239.4</v>
      </c>
      <c r="R133" s="25">
        <v>204671.82</v>
      </c>
      <c r="S133" s="25">
        <v>0</v>
      </c>
      <c r="T133" s="25">
        <v>157410</v>
      </c>
      <c r="U133" s="25">
        <v>320157.58</v>
      </c>
      <c r="V133" s="13">
        <v>7871</v>
      </c>
      <c r="W133" s="13">
        <v>0</v>
      </c>
      <c r="X133" s="13">
        <f t="shared" si="2"/>
        <v>0</v>
      </c>
      <c r="Y133" s="13"/>
      <c r="Z133" s="31"/>
      <c r="AA133" s="27"/>
    </row>
    <row r="134" spans="2:27">
      <c r="B134" s="11">
        <v>124</v>
      </c>
      <c r="C134" s="1" t="s">
        <v>394</v>
      </c>
      <c r="D134" s="1" t="s">
        <v>395</v>
      </c>
      <c r="E134" s="1" t="s">
        <v>396</v>
      </c>
      <c r="F134" s="29" t="s">
        <v>38</v>
      </c>
      <c r="G134" s="11">
        <v>2024</v>
      </c>
      <c r="H134" s="16">
        <v>45634</v>
      </c>
      <c r="I134" s="16">
        <v>45999</v>
      </c>
      <c r="J134" s="11">
        <v>2790</v>
      </c>
      <c r="K134" s="12" t="s">
        <v>397</v>
      </c>
      <c r="L134" s="16">
        <v>45663</v>
      </c>
      <c r="M134" s="12" t="s">
        <v>87</v>
      </c>
      <c r="N134" s="11" t="s">
        <v>41</v>
      </c>
      <c r="O134" s="25">
        <v>24444000</v>
      </c>
      <c r="P134" s="2">
        <v>16.5</v>
      </c>
      <c r="Q134" s="25">
        <v>4033260</v>
      </c>
      <c r="R134" s="25">
        <v>339985.65219369403</v>
      </c>
      <c r="S134" s="25">
        <v>0</v>
      </c>
      <c r="T134" s="25">
        <v>3692713</v>
      </c>
      <c r="U134" s="25">
        <v>561.34780630609021</v>
      </c>
      <c r="V134" s="13">
        <v>184636</v>
      </c>
      <c r="W134" s="13">
        <v>0</v>
      </c>
      <c r="X134" s="13">
        <f t="shared" si="2"/>
        <v>0</v>
      </c>
      <c r="Y134" s="13"/>
      <c r="Z134" s="31"/>
      <c r="AA134" s="27"/>
    </row>
    <row r="135" spans="2:27">
      <c r="B135" s="11">
        <v>125</v>
      </c>
      <c r="C135" s="1" t="s">
        <v>398</v>
      </c>
      <c r="D135" s="1" t="s">
        <v>399</v>
      </c>
      <c r="E135" s="1" t="s">
        <v>400</v>
      </c>
      <c r="F135" s="29" t="s">
        <v>38</v>
      </c>
      <c r="G135" s="11">
        <v>2024</v>
      </c>
      <c r="H135" s="16">
        <v>45444</v>
      </c>
      <c r="I135" s="16">
        <v>45992</v>
      </c>
      <c r="J135" s="11">
        <v>2975</v>
      </c>
      <c r="K135" s="12" t="s">
        <v>401</v>
      </c>
      <c r="L135" s="16">
        <v>45741</v>
      </c>
      <c r="M135" s="12" t="s">
        <v>87</v>
      </c>
      <c r="N135" s="11" t="s">
        <v>41</v>
      </c>
      <c r="O135" s="25">
        <v>8000000</v>
      </c>
      <c r="P135" s="2">
        <v>10</v>
      </c>
      <c r="Q135" s="25">
        <v>800000</v>
      </c>
      <c r="R135" s="25">
        <v>219780.21978021899</v>
      </c>
      <c r="S135" s="25">
        <v>0</v>
      </c>
      <c r="T135" s="25">
        <v>579927</v>
      </c>
      <c r="U135" s="25">
        <v>292.78021978097968</v>
      </c>
      <c r="V135" s="13">
        <v>28996</v>
      </c>
      <c r="W135" s="13">
        <v>0</v>
      </c>
      <c r="X135" s="13">
        <f t="shared" si="2"/>
        <v>0</v>
      </c>
      <c r="Y135" s="13"/>
      <c r="Z135" s="31"/>
      <c r="AA135" s="27"/>
    </row>
    <row r="136" spans="2:27">
      <c r="B136" s="11">
        <v>126</v>
      </c>
      <c r="C136" s="1" t="s">
        <v>402</v>
      </c>
      <c r="D136" s="1" t="s">
        <v>403</v>
      </c>
      <c r="E136" s="1" t="s">
        <v>404</v>
      </c>
      <c r="F136" s="29" t="s">
        <v>38</v>
      </c>
      <c r="G136" s="11">
        <v>2024</v>
      </c>
      <c r="H136" s="16">
        <v>45444</v>
      </c>
      <c r="I136" s="16">
        <v>45992</v>
      </c>
      <c r="J136" s="11">
        <v>2975</v>
      </c>
      <c r="K136" s="12" t="s">
        <v>405</v>
      </c>
      <c r="L136" s="16">
        <v>45568</v>
      </c>
      <c r="M136" s="12" t="s">
        <v>87</v>
      </c>
      <c r="N136" s="11" t="s">
        <v>41</v>
      </c>
      <c r="O136" s="28">
        <v>235923840</v>
      </c>
      <c r="P136" s="2">
        <v>10</v>
      </c>
      <c r="Q136" s="25">
        <v>23592384</v>
      </c>
      <c r="R136" s="28">
        <v>15386337.3913044</v>
      </c>
      <c r="S136" s="28">
        <v>0</v>
      </c>
      <c r="T136" s="28">
        <v>8185533</v>
      </c>
      <c r="U136" s="25">
        <v>20513.608695600182</v>
      </c>
      <c r="V136" s="18">
        <v>409277</v>
      </c>
      <c r="W136" s="13">
        <v>235923840</v>
      </c>
      <c r="X136" s="13">
        <f t="shared" si="2"/>
        <v>11796192</v>
      </c>
      <c r="Y136" s="13"/>
      <c r="Z136" s="31"/>
      <c r="AA136" s="27"/>
    </row>
    <row r="137" spans="2:27">
      <c r="B137" s="11">
        <v>127</v>
      </c>
      <c r="C137" s="1" t="s">
        <v>406</v>
      </c>
      <c r="D137" s="1" t="s">
        <v>407</v>
      </c>
      <c r="E137" s="1" t="s">
        <v>408</v>
      </c>
      <c r="F137" s="29" t="s">
        <v>38</v>
      </c>
      <c r="G137" s="11">
        <v>2024</v>
      </c>
      <c r="H137" s="16">
        <v>45444</v>
      </c>
      <c r="I137" s="16">
        <v>45992</v>
      </c>
      <c r="J137" s="11">
        <v>2972</v>
      </c>
      <c r="K137" s="12" t="s">
        <v>409</v>
      </c>
      <c r="L137" s="16">
        <v>45665</v>
      </c>
      <c r="M137" s="12" t="s">
        <v>87</v>
      </c>
      <c r="N137" s="11" t="s">
        <v>41</v>
      </c>
      <c r="O137" s="25">
        <v>80435040</v>
      </c>
      <c r="P137" s="2">
        <v>10</v>
      </c>
      <c r="Q137" s="25">
        <v>8043504</v>
      </c>
      <c r="R137" s="25">
        <v>1723608</v>
      </c>
      <c r="S137" s="25">
        <v>0</v>
      </c>
      <c r="T137" s="25">
        <v>4204990</v>
      </c>
      <c r="U137" s="25">
        <v>2114906</v>
      </c>
      <c r="V137" s="13">
        <v>210249</v>
      </c>
      <c r="W137" s="13">
        <v>0</v>
      </c>
      <c r="X137" s="13">
        <f t="shared" si="2"/>
        <v>0</v>
      </c>
      <c r="Y137" s="13"/>
      <c r="Z137" s="31"/>
      <c r="AA137" s="27"/>
    </row>
    <row r="138" spans="2:27">
      <c r="B138" s="11">
        <v>128</v>
      </c>
      <c r="C138" s="1" t="s">
        <v>410</v>
      </c>
      <c r="D138" s="1" t="s">
        <v>407</v>
      </c>
      <c r="E138" s="1" t="s">
        <v>408</v>
      </c>
      <c r="F138" s="29" t="s">
        <v>38</v>
      </c>
      <c r="G138" s="11">
        <v>2024</v>
      </c>
      <c r="H138" s="16">
        <v>45444</v>
      </c>
      <c r="I138" s="16">
        <v>45992</v>
      </c>
      <c r="J138" s="11">
        <v>2972</v>
      </c>
      <c r="K138" s="12" t="s">
        <v>409</v>
      </c>
      <c r="L138" s="16">
        <v>45733</v>
      </c>
      <c r="M138" s="12" t="s">
        <v>87</v>
      </c>
      <c r="N138" s="11" t="s">
        <v>41</v>
      </c>
      <c r="O138" s="28">
        <v>80435040</v>
      </c>
      <c r="P138" s="2">
        <v>10</v>
      </c>
      <c r="Q138" s="25">
        <v>8043504</v>
      </c>
      <c r="R138" s="28">
        <v>1723608</v>
      </c>
      <c r="S138" s="28">
        <v>0</v>
      </c>
      <c r="T138" s="28">
        <v>2112607</v>
      </c>
      <c r="U138" s="25">
        <v>4207289</v>
      </c>
      <c r="V138" s="18">
        <v>105630</v>
      </c>
      <c r="W138" s="13">
        <v>0</v>
      </c>
      <c r="X138" s="13">
        <f t="shared" si="2"/>
        <v>0</v>
      </c>
      <c r="Y138" s="13"/>
      <c r="Z138" s="31"/>
      <c r="AA138" s="27"/>
    </row>
    <row r="139" spans="2:27">
      <c r="B139" s="11">
        <v>129</v>
      </c>
      <c r="C139" s="1" t="s">
        <v>411</v>
      </c>
      <c r="D139" s="1" t="s">
        <v>412</v>
      </c>
      <c r="E139" s="1" t="s">
        <v>413</v>
      </c>
      <c r="F139" s="29" t="s">
        <v>38</v>
      </c>
      <c r="G139" s="11">
        <v>2024</v>
      </c>
      <c r="H139" s="16">
        <v>45580</v>
      </c>
      <c r="I139" s="16">
        <v>45992</v>
      </c>
      <c r="J139" s="11">
        <v>2972</v>
      </c>
      <c r="K139" s="12" t="s">
        <v>414</v>
      </c>
      <c r="L139" s="16">
        <v>45780</v>
      </c>
      <c r="M139" s="12" t="s">
        <v>87</v>
      </c>
      <c r="N139" s="11" t="s">
        <v>41</v>
      </c>
      <c r="O139" s="25">
        <v>107658060</v>
      </c>
      <c r="P139" s="2">
        <v>10</v>
      </c>
      <c r="Q139" s="25">
        <v>10765806</v>
      </c>
      <c r="R139" s="25">
        <v>7063436.6353990398</v>
      </c>
      <c r="S139" s="25">
        <v>0</v>
      </c>
      <c r="T139" s="25">
        <v>3692952</v>
      </c>
      <c r="U139" s="25">
        <v>9417.3646009601653</v>
      </c>
      <c r="V139" s="13">
        <v>184648</v>
      </c>
      <c r="W139" s="13">
        <v>0</v>
      </c>
      <c r="X139" s="13">
        <f t="shared" si="2"/>
        <v>0</v>
      </c>
      <c r="Y139" s="13"/>
      <c r="Z139" s="31"/>
      <c r="AA139" s="27"/>
    </row>
    <row r="140" spans="2:27">
      <c r="B140" s="11">
        <v>130</v>
      </c>
      <c r="C140" s="1" t="s">
        <v>415</v>
      </c>
      <c r="D140" s="1" t="s">
        <v>416</v>
      </c>
      <c r="E140" s="1" t="s">
        <v>417</v>
      </c>
      <c r="F140" s="29" t="s">
        <v>38</v>
      </c>
      <c r="G140" s="11">
        <v>2024</v>
      </c>
      <c r="H140" s="16">
        <v>45443</v>
      </c>
      <c r="I140" s="16">
        <v>45808</v>
      </c>
      <c r="J140" s="11">
        <v>2413</v>
      </c>
      <c r="K140" s="12" t="s">
        <v>418</v>
      </c>
      <c r="L140" s="16">
        <v>45605</v>
      </c>
      <c r="M140" s="12" t="s">
        <v>87</v>
      </c>
      <c r="N140" s="11" t="s">
        <v>41</v>
      </c>
      <c r="O140" s="28">
        <v>275077647.89999998</v>
      </c>
      <c r="P140" s="2">
        <v>10</v>
      </c>
      <c r="Q140" s="25">
        <v>27507764.789999999</v>
      </c>
      <c r="R140" s="28">
        <v>3663427.0190435802</v>
      </c>
      <c r="S140" s="28">
        <v>0</v>
      </c>
      <c r="T140" s="28">
        <v>23816427</v>
      </c>
      <c r="U140" s="25">
        <v>27910.770956419408</v>
      </c>
      <c r="V140" s="18">
        <v>1190821</v>
      </c>
      <c r="W140" s="13">
        <v>540000000</v>
      </c>
      <c r="X140" s="13">
        <f t="shared" si="2"/>
        <v>27000000</v>
      </c>
      <c r="Y140" s="13"/>
      <c r="Z140" s="31"/>
      <c r="AA140" s="27"/>
    </row>
    <row r="141" spans="2:27">
      <c r="B141" s="11">
        <v>131</v>
      </c>
      <c r="C141" s="1" t="s">
        <v>419</v>
      </c>
      <c r="D141" s="1" t="s">
        <v>420</v>
      </c>
      <c r="E141" s="1" t="s">
        <v>421</v>
      </c>
      <c r="F141" s="29" t="s">
        <v>38</v>
      </c>
      <c r="G141" s="11">
        <v>2024</v>
      </c>
      <c r="H141" s="16">
        <v>45474</v>
      </c>
      <c r="I141" s="16">
        <v>45839</v>
      </c>
      <c r="J141" s="11">
        <v>2462</v>
      </c>
      <c r="K141" s="12" t="s">
        <v>422</v>
      </c>
      <c r="L141" s="16">
        <v>45789</v>
      </c>
      <c r="M141" s="12" t="s">
        <v>87</v>
      </c>
      <c r="N141" s="11" t="s">
        <v>41</v>
      </c>
      <c r="O141" s="25">
        <v>75209592.709999993</v>
      </c>
      <c r="P141" s="2">
        <v>10</v>
      </c>
      <c r="Q141" s="25">
        <v>7520959.2709999997</v>
      </c>
      <c r="R141" s="25">
        <v>1607687.3906106499</v>
      </c>
      <c r="S141" s="25">
        <v>0</v>
      </c>
      <c r="T141" s="25">
        <v>5901022</v>
      </c>
      <c r="U141" s="25">
        <v>12249.880389349535</v>
      </c>
      <c r="V141" s="13">
        <v>295051</v>
      </c>
      <c r="W141" s="13">
        <v>0</v>
      </c>
      <c r="X141" s="13">
        <f t="shared" si="2"/>
        <v>0</v>
      </c>
      <c r="Y141" s="13"/>
      <c r="Z141" s="31"/>
      <c r="AA141" s="27"/>
    </row>
    <row r="142" spans="2:27">
      <c r="B142" s="11">
        <v>132</v>
      </c>
      <c r="C142" s="1" t="s">
        <v>423</v>
      </c>
      <c r="D142" s="1" t="s">
        <v>424</v>
      </c>
      <c r="E142" s="1" t="s">
        <v>425</v>
      </c>
      <c r="F142" s="29" t="s">
        <v>38</v>
      </c>
      <c r="G142" s="11">
        <v>2024</v>
      </c>
      <c r="H142" s="16">
        <v>45360</v>
      </c>
      <c r="I142" s="16">
        <v>45748</v>
      </c>
      <c r="J142" s="11">
        <v>27111</v>
      </c>
      <c r="K142" s="12" t="s">
        <v>426</v>
      </c>
      <c r="L142" s="16">
        <v>45704</v>
      </c>
      <c r="M142" s="12" t="s">
        <v>269</v>
      </c>
      <c r="N142" s="11" t="s">
        <v>41</v>
      </c>
      <c r="O142" s="25">
        <v>521846.46</v>
      </c>
      <c r="P142" s="2">
        <v>100</v>
      </c>
      <c r="Q142" s="25">
        <v>521846.46</v>
      </c>
      <c r="R142" s="25">
        <v>204346.803128047</v>
      </c>
      <c r="S142" s="25">
        <v>0</v>
      </c>
      <c r="T142" s="25">
        <v>317500</v>
      </c>
      <c r="U142" s="25">
        <v>-0.34312804695218801</v>
      </c>
      <c r="V142" s="13">
        <v>15875</v>
      </c>
      <c r="W142" s="13">
        <v>0</v>
      </c>
      <c r="X142" s="13">
        <f t="shared" si="2"/>
        <v>0</v>
      </c>
      <c r="Y142" s="13"/>
      <c r="Z142" s="31"/>
      <c r="AA142" s="27"/>
    </row>
    <row r="143" spans="2:27">
      <c r="B143" s="11">
        <v>133</v>
      </c>
      <c r="C143" s="1" t="s">
        <v>432</v>
      </c>
      <c r="D143" s="1" t="s">
        <v>170</v>
      </c>
      <c r="E143" s="1" t="s">
        <v>171</v>
      </c>
      <c r="F143" s="29" t="s">
        <v>38</v>
      </c>
      <c r="G143" s="11">
        <v>2023</v>
      </c>
      <c r="H143" s="16">
        <v>45230</v>
      </c>
      <c r="I143" s="16">
        <v>45596</v>
      </c>
      <c r="J143" s="11">
        <v>2761</v>
      </c>
      <c r="K143" s="12" t="s">
        <v>172</v>
      </c>
      <c r="L143" s="16">
        <v>45462</v>
      </c>
      <c r="M143" s="12" t="s">
        <v>87</v>
      </c>
      <c r="N143" s="11" t="s">
        <v>431</v>
      </c>
      <c r="O143" s="25">
        <v>9313.0499999999993</v>
      </c>
      <c r="P143" s="2">
        <v>10</v>
      </c>
      <c r="Q143" s="25">
        <v>931.30499999999995</v>
      </c>
      <c r="R143" s="25">
        <v>-70.850259365224105</v>
      </c>
      <c r="S143" s="25">
        <v>0</v>
      </c>
      <c r="T143" s="25">
        <v>883.87</v>
      </c>
      <c r="U143" s="25">
        <v>118.28525936522408</v>
      </c>
      <c r="V143" s="13">
        <v>176.77</v>
      </c>
      <c r="W143" s="13">
        <v>0</v>
      </c>
      <c r="X143" s="13">
        <f t="shared" ref="X143:X146" si="3">W143*20%</f>
        <v>0</v>
      </c>
      <c r="Y143" s="13"/>
      <c r="Z143" s="31"/>
      <c r="AA143" s="27"/>
    </row>
    <row r="144" spans="2:27">
      <c r="B144" s="11">
        <v>134</v>
      </c>
      <c r="C144" s="1" t="s">
        <v>433</v>
      </c>
      <c r="D144" s="1" t="s">
        <v>434</v>
      </c>
      <c r="E144" s="1" t="s">
        <v>435</v>
      </c>
      <c r="F144" s="29" t="s">
        <v>38</v>
      </c>
      <c r="G144" s="11">
        <v>2023</v>
      </c>
      <c r="H144" s="16">
        <v>45291</v>
      </c>
      <c r="I144" s="16">
        <v>45657</v>
      </c>
      <c r="J144" s="11">
        <v>2748</v>
      </c>
      <c r="K144" s="12" t="s">
        <v>436</v>
      </c>
      <c r="L144" s="16">
        <v>45613</v>
      </c>
      <c r="M144" s="12" t="s">
        <v>87</v>
      </c>
      <c r="N144" s="11" t="s">
        <v>431</v>
      </c>
      <c r="O144" s="25">
        <v>540412.89</v>
      </c>
      <c r="P144" s="2">
        <v>11.5</v>
      </c>
      <c r="Q144" s="25">
        <v>62147.482349999998</v>
      </c>
      <c r="R144" s="25">
        <v>1307.4328776806001</v>
      </c>
      <c r="S144" s="25">
        <v>0</v>
      </c>
      <c r="T144" s="25">
        <v>14799.14</v>
      </c>
      <c r="U144" s="25">
        <v>46040.909472319399</v>
      </c>
      <c r="V144" s="13">
        <v>2959.83</v>
      </c>
      <c r="W144" s="13">
        <v>728856.33</v>
      </c>
      <c r="X144" s="13">
        <f t="shared" si="3"/>
        <v>145771.266</v>
      </c>
      <c r="Y144" s="13"/>
      <c r="Z144" s="31"/>
      <c r="AA144" s="27"/>
    </row>
    <row r="145" spans="2:27">
      <c r="B145" s="11">
        <v>135</v>
      </c>
      <c r="C145" s="1" t="s">
        <v>223</v>
      </c>
      <c r="D145" s="1" t="s">
        <v>224</v>
      </c>
      <c r="E145" s="1" t="s">
        <v>225</v>
      </c>
      <c r="F145" s="29" t="s">
        <v>38</v>
      </c>
      <c r="G145" s="11">
        <v>2023</v>
      </c>
      <c r="H145" s="16">
        <v>45138</v>
      </c>
      <c r="I145" s="16">
        <v>45504</v>
      </c>
      <c r="J145" s="11">
        <v>2734</v>
      </c>
      <c r="K145" s="12" t="s">
        <v>226</v>
      </c>
      <c r="L145" s="16">
        <v>45383</v>
      </c>
      <c r="M145" s="12" t="s">
        <v>87</v>
      </c>
      <c r="N145" s="11" t="s">
        <v>431</v>
      </c>
      <c r="O145" s="25">
        <v>31325.109999999997</v>
      </c>
      <c r="P145" s="2">
        <v>10</v>
      </c>
      <c r="Q145" s="25">
        <v>3132.511</v>
      </c>
      <c r="R145" s="25">
        <v>1377.0948945830801</v>
      </c>
      <c r="S145" s="25">
        <v>0</v>
      </c>
      <c r="T145" s="25">
        <v>1753.11</v>
      </c>
      <c r="U145" s="25">
        <v>2.3061054169199906</v>
      </c>
      <c r="V145" s="13">
        <v>350.62</v>
      </c>
      <c r="W145" s="13">
        <v>0</v>
      </c>
      <c r="X145" s="13">
        <f t="shared" si="3"/>
        <v>0</v>
      </c>
      <c r="Y145" s="13"/>
      <c r="Z145" s="31"/>
      <c r="AA145" s="27"/>
    </row>
    <row r="146" spans="2:27">
      <c r="B146" s="11">
        <v>136</v>
      </c>
      <c r="C146" s="1" t="s">
        <v>441</v>
      </c>
      <c r="D146" s="1" t="s">
        <v>442</v>
      </c>
      <c r="E146" s="1" t="s">
        <v>439</v>
      </c>
      <c r="F146" s="29" t="s">
        <v>38</v>
      </c>
      <c r="G146" s="11">
        <v>2023</v>
      </c>
      <c r="H146" s="16">
        <v>45199</v>
      </c>
      <c r="I146" s="16">
        <v>45565</v>
      </c>
      <c r="J146" s="11">
        <v>2433</v>
      </c>
      <c r="K146" s="12" t="s">
        <v>443</v>
      </c>
      <c r="L146" s="16">
        <v>45343</v>
      </c>
      <c r="M146" s="12" t="s">
        <v>87</v>
      </c>
      <c r="N146" s="11" t="s">
        <v>431</v>
      </c>
      <c r="O146" s="28">
        <v>4473786.7465934064</v>
      </c>
      <c r="P146" s="2">
        <v>4.55</v>
      </c>
      <c r="Q146" s="25">
        <v>203557.29697</v>
      </c>
      <c r="R146" s="28">
        <v>13218.062540773501</v>
      </c>
      <c r="S146" s="28">
        <v>0</v>
      </c>
      <c r="T146" s="28">
        <v>168006.67</v>
      </c>
      <c r="U146" s="25">
        <v>22332.564429226477</v>
      </c>
      <c r="V146" s="18">
        <v>33601.339999999997</v>
      </c>
      <c r="W146" s="13">
        <v>11732394.619999999</v>
      </c>
      <c r="X146" s="13">
        <f t="shared" si="3"/>
        <v>2346478.9240000001</v>
      </c>
      <c r="Y146" s="13"/>
      <c r="Z146" s="31"/>
      <c r="AA146" s="27"/>
    </row>
    <row r="147" spans="2:27">
      <c r="B147" s="11">
        <v>137</v>
      </c>
      <c r="C147" s="1" t="s">
        <v>444</v>
      </c>
      <c r="D147" s="1" t="s">
        <v>445</v>
      </c>
      <c r="E147" s="1" t="s">
        <v>446</v>
      </c>
      <c r="F147" s="29" t="s">
        <v>38</v>
      </c>
      <c r="G147" s="11">
        <v>2024</v>
      </c>
      <c r="H147" s="16">
        <v>45530</v>
      </c>
      <c r="I147" s="16">
        <v>45895</v>
      </c>
      <c r="J147" s="11">
        <v>2423</v>
      </c>
      <c r="K147" s="12" t="s">
        <v>447</v>
      </c>
      <c r="L147" s="16">
        <v>45553</v>
      </c>
      <c r="M147" s="12" t="s">
        <v>87</v>
      </c>
      <c r="N147" s="11" t="s">
        <v>431</v>
      </c>
      <c r="O147" s="28">
        <v>246508.2</v>
      </c>
      <c r="P147" s="2">
        <v>12.5</v>
      </c>
      <c r="Q147" s="25">
        <v>30813.525000000001</v>
      </c>
      <c r="R147" s="28">
        <v>15004.900984603401</v>
      </c>
      <c r="S147" s="28">
        <v>0</v>
      </c>
      <c r="T147" s="28">
        <v>15772.9</v>
      </c>
      <c r="U147" s="25">
        <v>35.724015396601317</v>
      </c>
      <c r="V147" s="18">
        <v>788.64</v>
      </c>
      <c r="W147" s="13">
        <v>517946.04</v>
      </c>
      <c r="X147" s="13">
        <f t="shared" si="2"/>
        <v>25897.302</v>
      </c>
      <c r="Y147" s="13"/>
      <c r="Z147" s="31"/>
      <c r="AA147" s="27"/>
    </row>
    <row r="148" spans="2:27">
      <c r="B148" s="11">
        <v>138</v>
      </c>
      <c r="C148" s="1" t="s">
        <v>448</v>
      </c>
      <c r="D148" s="1" t="s">
        <v>449</v>
      </c>
      <c r="E148" s="1" t="s">
        <v>450</v>
      </c>
      <c r="F148" s="29" t="s">
        <v>38</v>
      </c>
      <c r="G148" s="11">
        <v>2024</v>
      </c>
      <c r="H148" s="16">
        <v>45627</v>
      </c>
      <c r="I148" s="16">
        <v>45992</v>
      </c>
      <c r="J148" s="11">
        <v>2402</v>
      </c>
      <c r="K148" s="12" t="s">
        <v>451</v>
      </c>
      <c r="L148" s="16">
        <v>45762</v>
      </c>
      <c r="M148" s="12" t="s">
        <v>87</v>
      </c>
      <c r="N148" s="11" t="s">
        <v>431</v>
      </c>
      <c r="O148" s="28">
        <v>925000</v>
      </c>
      <c r="P148" s="2">
        <v>10</v>
      </c>
      <c r="Q148" s="25">
        <v>92500</v>
      </c>
      <c r="R148" s="28">
        <v>31138.222329819</v>
      </c>
      <c r="S148" s="28">
        <v>0</v>
      </c>
      <c r="T148" s="28">
        <v>61302.46</v>
      </c>
      <c r="U148" s="25">
        <v>59.317670181000722</v>
      </c>
      <c r="V148" s="18">
        <v>3065.12</v>
      </c>
      <c r="W148" s="13">
        <v>4020000</v>
      </c>
      <c r="X148" s="13">
        <f t="shared" si="2"/>
        <v>201000</v>
      </c>
      <c r="Y148" s="13"/>
      <c r="Z148" s="31"/>
      <c r="AA148" s="27"/>
    </row>
    <row r="149" spans="2:27">
      <c r="B149" s="11">
        <v>139</v>
      </c>
      <c r="C149" s="1" t="s">
        <v>452</v>
      </c>
      <c r="D149" s="1" t="s">
        <v>453</v>
      </c>
      <c r="E149" s="1" t="s">
        <v>454</v>
      </c>
      <c r="F149" s="29" t="s">
        <v>38</v>
      </c>
      <c r="G149" s="11">
        <v>2024</v>
      </c>
      <c r="H149" s="16">
        <v>45530</v>
      </c>
      <c r="I149" s="16">
        <v>45895</v>
      </c>
      <c r="J149" s="11">
        <v>2423</v>
      </c>
      <c r="K149" s="12" t="s">
        <v>447</v>
      </c>
      <c r="L149" s="16">
        <v>45553</v>
      </c>
      <c r="M149" s="12" t="s">
        <v>87</v>
      </c>
      <c r="N149" s="11" t="s">
        <v>431</v>
      </c>
      <c r="O149" s="28">
        <v>74021.039999999994</v>
      </c>
      <c r="P149" s="2">
        <v>12.5</v>
      </c>
      <c r="Q149" s="25">
        <v>9252.6299999999992</v>
      </c>
      <c r="R149" s="28">
        <v>4505.6447451945796</v>
      </c>
      <c r="S149" s="28">
        <v>0</v>
      </c>
      <c r="T149" s="28">
        <v>4736.26</v>
      </c>
      <c r="U149" s="25">
        <v>10.725254805419354</v>
      </c>
      <c r="V149" s="18">
        <v>236.81</v>
      </c>
      <c r="W149" s="13">
        <v>98425.16</v>
      </c>
      <c r="X149" s="13">
        <f t="shared" si="2"/>
        <v>4921.2580000000007</v>
      </c>
      <c r="Y149" s="13"/>
      <c r="Z149" s="31"/>
      <c r="AA149" s="27"/>
    </row>
    <row r="150" spans="2:27">
      <c r="B150" s="11">
        <v>140</v>
      </c>
      <c r="C150" s="1" t="s">
        <v>455</v>
      </c>
      <c r="D150" s="1" t="s">
        <v>456</v>
      </c>
      <c r="E150" s="1" t="s">
        <v>457</v>
      </c>
      <c r="F150" s="29" t="s">
        <v>38</v>
      </c>
      <c r="G150" s="11">
        <v>2024</v>
      </c>
      <c r="H150" s="16">
        <v>45530</v>
      </c>
      <c r="I150" s="16">
        <v>45895</v>
      </c>
      <c r="J150" s="11">
        <v>2468</v>
      </c>
      <c r="K150" s="12" t="s">
        <v>458</v>
      </c>
      <c r="L150" s="16">
        <v>45553</v>
      </c>
      <c r="M150" s="12" t="s">
        <v>87</v>
      </c>
      <c r="N150" s="11" t="s">
        <v>431</v>
      </c>
      <c r="O150" s="28">
        <v>120997.72</v>
      </c>
      <c r="P150" s="2">
        <v>12.5</v>
      </c>
      <c r="Q150" s="25">
        <v>15124.715</v>
      </c>
      <c r="R150" s="28">
        <v>7365.1051281976597</v>
      </c>
      <c r="S150" s="28">
        <v>0</v>
      </c>
      <c r="T150" s="28">
        <v>7742.07</v>
      </c>
      <c r="U150" s="25">
        <v>17.539871802340713</v>
      </c>
      <c r="V150" s="18">
        <v>387.1</v>
      </c>
      <c r="W150" s="13">
        <v>243742.74</v>
      </c>
      <c r="X150" s="13">
        <f t="shared" si="2"/>
        <v>12187.137000000001</v>
      </c>
      <c r="Y150" s="13"/>
      <c r="Z150" s="31"/>
      <c r="AA150" s="27"/>
    </row>
    <row r="151" spans="2:27">
      <c r="F151"/>
      <c r="O151" s="32"/>
      <c r="Q151" s="33"/>
      <c r="R151" s="33"/>
      <c r="S151" s="33"/>
      <c r="T151" s="33"/>
      <c r="U151" s="34"/>
      <c r="V151" s="24"/>
    </row>
    <row r="152" spans="2:27">
      <c r="F152"/>
      <c r="O152" s="32"/>
      <c r="Q152" s="33"/>
      <c r="R152" s="33"/>
      <c r="S152" s="33"/>
      <c r="T152" s="33"/>
      <c r="V152" s="35">
        <f>SUBTOTAL(9,V11:V150)</f>
        <v>4477.67</v>
      </c>
    </row>
    <row r="153" spans="2:27">
      <c r="F153"/>
      <c r="O153" s="32"/>
      <c r="Q153" s="33"/>
      <c r="R153" s="33"/>
      <c r="S153" s="33"/>
      <c r="T153" s="33"/>
    </row>
    <row r="154" spans="2:27">
      <c r="F154"/>
      <c r="V154" s="36"/>
    </row>
    <row r="155" spans="2:27">
      <c r="F155"/>
      <c r="G155"/>
      <c r="N155"/>
      <c r="V155" s="36"/>
    </row>
    <row r="156" spans="2:27">
      <c r="F156"/>
      <c r="G156"/>
      <c r="N156"/>
    </row>
    <row r="157" spans="2:27">
      <c r="F157"/>
      <c r="G157"/>
      <c r="N157"/>
    </row>
    <row r="158" spans="2:27">
      <c r="F158"/>
      <c r="G158"/>
      <c r="N158"/>
    </row>
    <row r="159" spans="2:27">
      <c r="F159"/>
      <c r="G159"/>
      <c r="N159"/>
    </row>
    <row r="160" spans="2:27">
      <c r="F160"/>
      <c r="G160"/>
      <c r="N160"/>
    </row>
    <row r="161" spans="6:14">
      <c r="F161"/>
      <c r="G161"/>
    </row>
    <row r="162" spans="6:14">
      <c r="F162"/>
      <c r="G162"/>
    </row>
    <row r="163" spans="6:14">
      <c r="F163"/>
      <c r="G163"/>
    </row>
    <row r="164" spans="6:14">
      <c r="F164"/>
      <c r="G164"/>
    </row>
    <row r="165" spans="6:14">
      <c r="F165"/>
      <c r="G165"/>
      <c r="L165"/>
      <c r="N165"/>
    </row>
    <row r="166" spans="6:14">
      <c r="F166"/>
      <c r="G166"/>
      <c r="L166"/>
      <c r="N166"/>
    </row>
    <row r="167" spans="6:14">
      <c r="F167"/>
      <c r="G167"/>
      <c r="L167"/>
      <c r="N167"/>
    </row>
    <row r="168" spans="6:14">
      <c r="F168"/>
      <c r="G168"/>
      <c r="L168"/>
      <c r="N168"/>
    </row>
    <row r="169" spans="6:14">
      <c r="F169"/>
      <c r="G169"/>
      <c r="L169"/>
      <c r="N169"/>
    </row>
    <row r="170" spans="6:14">
      <c r="F170"/>
      <c r="G170"/>
      <c r="L170"/>
      <c r="N170"/>
    </row>
    <row r="171" spans="6:14">
      <c r="F171"/>
      <c r="G171"/>
      <c r="L171"/>
      <c r="N171"/>
    </row>
    <row r="172" spans="6:14">
      <c r="F172"/>
      <c r="G172"/>
    </row>
    <row r="173" spans="6:14">
      <c r="F173"/>
      <c r="G173"/>
    </row>
    <row r="174" spans="6:14">
      <c r="F174"/>
      <c r="G174"/>
    </row>
    <row r="175" spans="6:14">
      <c r="F175"/>
      <c r="G175"/>
    </row>
    <row r="176" spans="6:14">
      <c r="F176"/>
      <c r="G176"/>
    </row>
    <row r="177" spans="6:7">
      <c r="F177"/>
      <c r="G177"/>
    </row>
    <row r="178" spans="6:7">
      <c r="F178"/>
      <c r="G178"/>
    </row>
    <row r="179" spans="6:7">
      <c r="F179"/>
      <c r="G179"/>
    </row>
    <row r="180" spans="6:7">
      <c r="F180"/>
      <c r="G180"/>
    </row>
    <row r="181" spans="6:7">
      <c r="F181"/>
      <c r="G181"/>
    </row>
    <row r="182" spans="6:7">
      <c r="F182"/>
      <c r="G182"/>
    </row>
    <row r="183" spans="6:7">
      <c r="F183"/>
      <c r="G183"/>
    </row>
    <row r="184" spans="6:7">
      <c r="F184"/>
      <c r="G184"/>
    </row>
    <row r="185" spans="6:7">
      <c r="F185"/>
      <c r="G185"/>
    </row>
    <row r="186" spans="6:7">
      <c r="F186"/>
      <c r="G186"/>
    </row>
    <row r="187" spans="6:7">
      <c r="F187"/>
      <c r="G187"/>
    </row>
    <row r="188" spans="6:7">
      <c r="F188"/>
      <c r="G188"/>
    </row>
    <row r="189" spans="6:7">
      <c r="F189"/>
      <c r="G189"/>
    </row>
    <row r="190" spans="6:7">
      <c r="F190"/>
      <c r="G190"/>
    </row>
    <row r="191" spans="6:7">
      <c r="F191"/>
      <c r="G191"/>
    </row>
    <row r="192" spans="6:7">
      <c r="F192"/>
      <c r="G192"/>
    </row>
    <row r="193" spans="6:7">
      <c r="F193"/>
      <c r="G193"/>
    </row>
    <row r="194" spans="6:7">
      <c r="F194"/>
      <c r="G194"/>
    </row>
    <row r="195" spans="6:7">
      <c r="F195"/>
      <c r="G195"/>
    </row>
    <row r="196" spans="6:7">
      <c r="F196"/>
      <c r="G196"/>
    </row>
    <row r="197" spans="6:7">
      <c r="F197"/>
      <c r="G197"/>
    </row>
    <row r="198" spans="6:7">
      <c r="F198"/>
      <c r="G198"/>
    </row>
    <row r="199" spans="6:7">
      <c r="F199"/>
      <c r="G199"/>
    </row>
    <row r="200" spans="6:7">
      <c r="F200"/>
      <c r="G200"/>
    </row>
    <row r="201" spans="6:7">
      <c r="F201"/>
      <c r="G201"/>
    </row>
    <row r="202" spans="6:7">
      <c r="F202"/>
      <c r="G202"/>
    </row>
    <row r="203" spans="6:7">
      <c r="F203"/>
      <c r="G203"/>
    </row>
    <row r="204" spans="6:7">
      <c r="F204"/>
      <c r="G204"/>
    </row>
    <row r="205" spans="6:7">
      <c r="F205"/>
      <c r="G205"/>
    </row>
    <row r="206" spans="6:7">
      <c r="F206"/>
      <c r="G206"/>
    </row>
    <row r="207" spans="6:7">
      <c r="F207"/>
      <c r="G207"/>
    </row>
    <row r="208" spans="6:7">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row r="264" spans="6:7">
      <c r="F264"/>
      <c r="G264"/>
    </row>
    <row r="265" spans="6:7">
      <c r="F265"/>
      <c r="G265"/>
    </row>
    <row r="266" spans="6:7">
      <c r="F266"/>
      <c r="G266"/>
    </row>
    <row r="267" spans="6:7">
      <c r="F267"/>
      <c r="G267"/>
    </row>
    <row r="268" spans="6:7">
      <c r="F268"/>
      <c r="G268"/>
    </row>
    <row r="269" spans="6:7">
      <c r="F269"/>
      <c r="G269"/>
    </row>
    <row r="270" spans="6:7">
      <c r="F270"/>
      <c r="G270"/>
    </row>
    <row r="271" spans="6:7">
      <c r="F271"/>
      <c r="G271"/>
    </row>
    <row r="272" spans="6:7">
      <c r="F272"/>
      <c r="G272"/>
    </row>
    <row r="273" spans="6:7">
      <c r="F273"/>
      <c r="G273"/>
    </row>
    <row r="274" spans="6:7">
      <c r="F274"/>
      <c r="G274"/>
    </row>
    <row r="275" spans="6:7">
      <c r="F275"/>
      <c r="G275"/>
    </row>
    <row r="276" spans="6:7">
      <c r="F276"/>
      <c r="G276"/>
    </row>
    <row r="277" spans="6:7">
      <c r="F277"/>
      <c r="G277"/>
    </row>
    <row r="278" spans="6:7">
      <c r="F278"/>
      <c r="G278"/>
    </row>
    <row r="279" spans="6:7">
      <c r="F279"/>
      <c r="G279"/>
    </row>
    <row r="280" spans="6:7">
      <c r="F280"/>
      <c r="G280"/>
    </row>
    <row r="281" spans="6:7">
      <c r="F281"/>
      <c r="G281"/>
    </row>
    <row r="282" spans="6:7">
      <c r="F282"/>
      <c r="G282"/>
    </row>
    <row r="283" spans="6:7">
      <c r="F283"/>
      <c r="G283"/>
    </row>
    <row r="284" spans="6:7">
      <c r="F284"/>
      <c r="G284"/>
    </row>
    <row r="285" spans="6:7">
      <c r="F285"/>
      <c r="G285"/>
    </row>
    <row r="286" spans="6:7">
      <c r="F286"/>
      <c r="G286"/>
    </row>
    <row r="287" spans="6:7">
      <c r="F287"/>
      <c r="G287"/>
    </row>
    <row r="288" spans="6:7">
      <c r="F288"/>
      <c r="G288"/>
    </row>
    <row r="289" spans="6:7">
      <c r="F289"/>
      <c r="G289"/>
    </row>
    <row r="290" spans="6:7">
      <c r="F290"/>
      <c r="G290"/>
    </row>
    <row r="291" spans="6:7">
      <c r="F291"/>
      <c r="G291"/>
    </row>
    <row r="292" spans="6:7">
      <c r="F292"/>
      <c r="G292"/>
    </row>
    <row r="293" spans="6:7">
      <c r="F293"/>
      <c r="G293"/>
    </row>
    <row r="294" spans="6:7">
      <c r="F294"/>
      <c r="G294"/>
    </row>
    <row r="295" spans="6:7">
      <c r="F295"/>
      <c r="G295"/>
    </row>
    <row r="296" spans="6:7">
      <c r="F296"/>
      <c r="G296"/>
    </row>
    <row r="297" spans="6:7">
      <c r="F297"/>
      <c r="G297"/>
    </row>
    <row r="298" spans="6:7">
      <c r="F298"/>
      <c r="G298"/>
    </row>
    <row r="299" spans="6:7">
      <c r="F299"/>
      <c r="G299"/>
    </row>
    <row r="300" spans="6:7">
      <c r="F300"/>
      <c r="G300"/>
    </row>
    <row r="301" spans="6:7">
      <c r="F301"/>
      <c r="G301"/>
    </row>
    <row r="302" spans="6:7">
      <c r="F302"/>
      <c r="G302"/>
    </row>
    <row r="303" spans="6:7">
      <c r="F303"/>
      <c r="G303"/>
    </row>
    <row r="304" spans="6:7">
      <c r="F304"/>
      <c r="G304"/>
    </row>
    <row r="305" spans="6:7">
      <c r="F305"/>
      <c r="G305"/>
    </row>
    <row r="306" spans="6:7">
      <c r="F306"/>
      <c r="G306"/>
    </row>
    <row r="307" spans="6:7">
      <c r="F307"/>
      <c r="G307"/>
    </row>
    <row r="308" spans="6:7">
      <c r="F308"/>
      <c r="G308"/>
    </row>
    <row r="309" spans="6:7">
      <c r="F309"/>
      <c r="G309"/>
    </row>
    <row r="310" spans="6:7">
      <c r="F310"/>
      <c r="G310"/>
    </row>
    <row r="311" spans="6:7">
      <c r="F311"/>
      <c r="G311"/>
    </row>
    <row r="312" spans="6:7">
      <c r="F312"/>
      <c r="G312"/>
    </row>
    <row r="313" spans="6:7">
      <c r="F313"/>
      <c r="G313"/>
    </row>
    <row r="314" spans="6:7">
      <c r="F314"/>
      <c r="G314"/>
    </row>
    <row r="315" spans="6:7">
      <c r="F315"/>
      <c r="G315"/>
    </row>
    <row r="316" spans="6:7">
      <c r="F316"/>
      <c r="G316"/>
    </row>
    <row r="317" spans="6:7">
      <c r="F317"/>
      <c r="G317"/>
    </row>
    <row r="318" spans="6:7">
      <c r="F318"/>
      <c r="G318"/>
    </row>
    <row r="319" spans="6:7">
      <c r="F319"/>
      <c r="G319"/>
    </row>
    <row r="320" spans="6:7">
      <c r="F320"/>
      <c r="G320"/>
    </row>
    <row r="321" spans="6:7">
      <c r="F321"/>
      <c r="G321"/>
    </row>
    <row r="322" spans="6:7">
      <c r="F322"/>
      <c r="G322"/>
    </row>
    <row r="323" spans="6:7">
      <c r="F323"/>
      <c r="G323"/>
    </row>
    <row r="324" spans="6:7">
      <c r="F324"/>
      <c r="G324"/>
    </row>
    <row r="325" spans="6:7">
      <c r="F325"/>
      <c r="G325"/>
    </row>
    <row r="326" spans="6:7">
      <c r="F326"/>
      <c r="G326"/>
    </row>
    <row r="327" spans="6:7">
      <c r="F327"/>
      <c r="G327"/>
    </row>
    <row r="328" spans="6:7">
      <c r="F328"/>
      <c r="G328"/>
    </row>
    <row r="329" spans="6:7">
      <c r="F329"/>
      <c r="G329"/>
    </row>
    <row r="330" spans="6:7">
      <c r="F330"/>
      <c r="G330"/>
    </row>
    <row r="331" spans="6:7">
      <c r="F331"/>
      <c r="G331"/>
    </row>
    <row r="332" spans="6:7">
      <c r="F332"/>
      <c r="G332"/>
    </row>
    <row r="333" spans="6:7">
      <c r="F333"/>
      <c r="G333"/>
    </row>
    <row r="334" spans="6:7">
      <c r="F334"/>
      <c r="G334"/>
    </row>
    <row r="335" spans="6:7">
      <c r="F335"/>
      <c r="G335"/>
    </row>
    <row r="336" spans="6:7">
      <c r="F336"/>
      <c r="G336"/>
    </row>
    <row r="337" spans="6:7">
      <c r="F337"/>
      <c r="G337"/>
    </row>
    <row r="338" spans="6:7">
      <c r="F338"/>
      <c r="G338"/>
    </row>
    <row r="339" spans="6:7">
      <c r="F339"/>
      <c r="G339"/>
    </row>
    <row r="340" spans="6:7">
      <c r="F340"/>
      <c r="G340"/>
    </row>
    <row r="341" spans="6:7">
      <c r="F341"/>
      <c r="G341"/>
    </row>
    <row r="342" spans="6:7">
      <c r="F342"/>
      <c r="G342"/>
    </row>
    <row r="343" spans="6:7">
      <c r="F343"/>
      <c r="G343"/>
    </row>
  </sheetData>
  <autoFilter ref="B10:Y150" xr:uid="{00000000-0001-0000-0100-000000000000}"/>
  <mergeCells count="19">
    <mergeCell ref="Y9:Y10"/>
    <mergeCell ref="O9:O10"/>
    <mergeCell ref="P9:Q9"/>
    <mergeCell ref="R9:U9"/>
    <mergeCell ref="V9:V10"/>
    <mergeCell ref="W9:W10"/>
    <mergeCell ref="X9:X10"/>
    <mergeCell ref="N9:N10"/>
    <mergeCell ref="B9:B10"/>
    <mergeCell ref="C9:C10"/>
    <mergeCell ref="D9:D10"/>
    <mergeCell ref="E9:E10"/>
    <mergeCell ref="F9:F10"/>
    <mergeCell ref="G9:G10"/>
    <mergeCell ref="H9:I9"/>
    <mergeCell ref="J9:J10"/>
    <mergeCell ref="K9:K10"/>
    <mergeCell ref="L9:L10"/>
    <mergeCell ref="M9:M1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1500-8468-47D9-9936-AE5FF65697DC}">
  <sheetPr>
    <tabColor rgb="FF00B050"/>
  </sheetPr>
  <dimension ref="B2:AB258"/>
  <sheetViews>
    <sheetView showGridLines="0" zoomScale="70" zoomScaleNormal="70" workbookViewId="0">
      <pane xSplit="7" ySplit="10" topLeftCell="Y11" activePane="bottomRight" state="frozen"/>
      <selection pane="bottomRight" activeCell="Y15" sqref="Y15"/>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style="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9" width="16.140625" customWidth="1"/>
    <col min="20" max="20" width="17.7109375" customWidth="1"/>
    <col min="21" max="22" width="18.85546875" customWidth="1"/>
    <col min="23" max="23" width="17.7109375" bestFit="1" customWidth="1"/>
    <col min="24" max="24" width="23.28515625" bestFit="1" customWidth="1"/>
    <col min="25" max="25" width="19.85546875" customWidth="1"/>
    <col min="26" max="26" width="21" customWidth="1"/>
    <col min="27" max="27" width="18.85546875" bestFit="1" customWidth="1"/>
  </cols>
  <sheetData>
    <row r="2" spans="2:28" ht="18">
      <c r="B2" s="8" t="s">
        <v>0</v>
      </c>
    </row>
    <row r="3" spans="2:28">
      <c r="B3" s="7" t="s">
        <v>1</v>
      </c>
      <c r="D3" s="9" t="s">
        <v>2</v>
      </c>
      <c r="E3" s="6"/>
    </row>
    <row r="4" spans="2:28">
      <c r="B4" s="7" t="s">
        <v>3</v>
      </c>
      <c r="D4" s="10" t="s">
        <v>459</v>
      </c>
      <c r="E4" s="5"/>
    </row>
    <row r="5" spans="2:28">
      <c r="B5" s="7" t="s">
        <v>5</v>
      </c>
      <c r="D5" s="10" t="s">
        <v>6</v>
      </c>
      <c r="E5" s="5"/>
    </row>
    <row r="7" spans="2:28">
      <c r="X7" s="19"/>
    </row>
    <row r="8" spans="2:28">
      <c r="G8"/>
      <c r="H8"/>
      <c r="I8"/>
      <c r="J8"/>
      <c r="L8"/>
      <c r="N8"/>
      <c r="T8" s="19"/>
    </row>
    <row r="9" spans="2:28"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705</v>
      </c>
      <c r="W9" s="37" t="s">
        <v>706</v>
      </c>
      <c r="X9" s="37" t="s">
        <v>24</v>
      </c>
      <c r="Y9" s="37" t="s">
        <v>704</v>
      </c>
      <c r="Z9" s="37" t="s">
        <v>26</v>
      </c>
    </row>
    <row r="10" spans="2:28"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c r="Z10" s="37"/>
    </row>
    <row r="11" spans="2:28">
      <c r="B11" s="11">
        <v>1</v>
      </c>
      <c r="C11" s="1" t="s">
        <v>460</v>
      </c>
      <c r="D11" s="1" t="s">
        <v>461</v>
      </c>
      <c r="E11" s="1" t="s">
        <v>462</v>
      </c>
      <c r="F11" s="29" t="s">
        <v>463</v>
      </c>
      <c r="G11" s="11">
        <v>2023</v>
      </c>
      <c r="H11" s="16">
        <v>45006</v>
      </c>
      <c r="I11" s="16">
        <v>45275</v>
      </c>
      <c r="J11" s="11" t="s">
        <v>464</v>
      </c>
      <c r="K11" s="12" t="s">
        <v>464</v>
      </c>
      <c r="L11" s="16">
        <v>45274</v>
      </c>
      <c r="M11" s="12" t="s">
        <v>87</v>
      </c>
      <c r="N11" s="11" t="s">
        <v>41</v>
      </c>
      <c r="O11" s="25">
        <v>62820743.333333336</v>
      </c>
      <c r="P11" s="2">
        <v>30</v>
      </c>
      <c r="Q11" s="25">
        <v>18846223</v>
      </c>
      <c r="R11" s="25">
        <v>9423111.4999999907</v>
      </c>
      <c r="S11" s="25">
        <v>9423110.9999999609</v>
      </c>
      <c r="T11" s="25">
        <v>0</v>
      </c>
      <c r="U11" s="25">
        <v>0.50000004842877388</v>
      </c>
      <c r="V11" s="25">
        <v>1884622</v>
      </c>
      <c r="W11" s="13">
        <v>0</v>
      </c>
      <c r="X11" s="13">
        <v>0</v>
      </c>
      <c r="Y11" s="13">
        <f t="shared" ref="Y11:Y19" si="0">X11*20%</f>
        <v>0</v>
      </c>
      <c r="Z11" s="13"/>
      <c r="AA11" s="31"/>
      <c r="AB11" s="30"/>
    </row>
    <row r="12" spans="2:28">
      <c r="B12" s="11">
        <v>2</v>
      </c>
      <c r="C12" s="1" t="s">
        <v>465</v>
      </c>
      <c r="D12" s="1" t="s">
        <v>466</v>
      </c>
      <c r="E12" s="1" t="s">
        <v>467</v>
      </c>
      <c r="F12" s="29" t="s">
        <v>463</v>
      </c>
      <c r="G12" s="11">
        <v>2023</v>
      </c>
      <c r="H12" s="16">
        <v>45268</v>
      </c>
      <c r="I12" s="16">
        <v>45657</v>
      </c>
      <c r="J12" s="11" t="s">
        <v>464</v>
      </c>
      <c r="K12" s="12" t="s">
        <v>464</v>
      </c>
      <c r="L12" s="16">
        <v>45626</v>
      </c>
      <c r="M12" s="12" t="s">
        <v>87</v>
      </c>
      <c r="N12" s="11" t="s">
        <v>41</v>
      </c>
      <c r="O12" s="25">
        <v>5225025402</v>
      </c>
      <c r="P12" s="2">
        <v>15</v>
      </c>
      <c r="Q12" s="25">
        <v>783753810.29999995</v>
      </c>
      <c r="R12" s="25">
        <v>149991751.441089</v>
      </c>
      <c r="S12" s="25">
        <v>149991751</v>
      </c>
      <c r="T12" s="25">
        <v>0</v>
      </c>
      <c r="U12" s="25">
        <v>483770307.85891092</v>
      </c>
      <c r="V12" s="25">
        <v>29998350</v>
      </c>
      <c r="W12" s="13">
        <v>0</v>
      </c>
      <c r="X12" s="13">
        <v>6200000000</v>
      </c>
      <c r="Y12" s="13">
        <f t="shared" si="0"/>
        <v>1240000000</v>
      </c>
      <c r="Z12" s="13"/>
      <c r="AA12" s="31"/>
      <c r="AB12" s="30"/>
    </row>
    <row r="13" spans="2:28">
      <c r="B13" s="11">
        <v>3</v>
      </c>
      <c r="C13" s="1" t="s">
        <v>468</v>
      </c>
      <c r="D13" s="1" t="s">
        <v>469</v>
      </c>
      <c r="E13" s="1" t="s">
        <v>470</v>
      </c>
      <c r="F13" s="29" t="s">
        <v>463</v>
      </c>
      <c r="G13" s="11">
        <v>2023</v>
      </c>
      <c r="H13" s="16">
        <v>45288</v>
      </c>
      <c r="I13" s="16">
        <v>45647</v>
      </c>
      <c r="J13" s="11" t="s">
        <v>464</v>
      </c>
      <c r="K13" s="12" t="s">
        <v>464</v>
      </c>
      <c r="L13" s="16">
        <v>45641</v>
      </c>
      <c r="M13" s="12" t="s">
        <v>87</v>
      </c>
      <c r="N13" s="11" t="s">
        <v>41</v>
      </c>
      <c r="O13" s="25">
        <v>501163855.80300003</v>
      </c>
      <c r="P13" s="2">
        <v>20</v>
      </c>
      <c r="Q13" s="25">
        <v>100232771.16060001</v>
      </c>
      <c r="R13" s="25">
        <v>19575790.883443799</v>
      </c>
      <c r="S13" s="25">
        <v>19575791</v>
      </c>
      <c r="T13" s="25">
        <v>0</v>
      </c>
      <c r="U13" s="25">
        <v>61081189.277156204</v>
      </c>
      <c r="V13" s="25">
        <v>3915158</v>
      </c>
      <c r="W13" s="13">
        <v>0</v>
      </c>
      <c r="X13" s="13">
        <v>522000000</v>
      </c>
      <c r="Y13" s="13">
        <f t="shared" si="0"/>
        <v>104400000</v>
      </c>
      <c r="Z13" s="13"/>
      <c r="AA13" s="31"/>
      <c r="AB13" s="30"/>
    </row>
    <row r="14" spans="2:28">
      <c r="B14" s="11">
        <v>4</v>
      </c>
      <c r="C14" s="1" t="s">
        <v>471</v>
      </c>
      <c r="D14" s="1" t="s">
        <v>472</v>
      </c>
      <c r="E14" s="1" t="s">
        <v>473</v>
      </c>
      <c r="F14" s="29" t="s">
        <v>463</v>
      </c>
      <c r="G14" s="11">
        <v>2023</v>
      </c>
      <c r="H14" s="16">
        <v>45230</v>
      </c>
      <c r="I14" s="16">
        <v>45596</v>
      </c>
      <c r="J14" s="11">
        <v>2742</v>
      </c>
      <c r="K14" s="12" t="s">
        <v>474</v>
      </c>
      <c r="L14" s="16">
        <v>45288</v>
      </c>
      <c r="M14" s="12" t="s">
        <v>87</v>
      </c>
      <c r="N14" s="11" t="s">
        <v>41</v>
      </c>
      <c r="O14" s="28">
        <v>35198800</v>
      </c>
      <c r="P14" s="2">
        <v>10</v>
      </c>
      <c r="Q14" s="25">
        <v>3519880</v>
      </c>
      <c r="R14" s="28">
        <v>1759940</v>
      </c>
      <c r="S14" s="28">
        <v>1759940</v>
      </c>
      <c r="T14" s="28">
        <v>0</v>
      </c>
      <c r="U14" s="25">
        <v>0</v>
      </c>
      <c r="V14" s="25">
        <v>351988</v>
      </c>
      <c r="W14" s="18">
        <v>0</v>
      </c>
      <c r="X14" s="13">
        <v>0</v>
      </c>
      <c r="Y14" s="13">
        <f t="shared" si="0"/>
        <v>0</v>
      </c>
      <c r="Z14" s="13"/>
      <c r="AA14" s="31"/>
      <c r="AB14" s="30"/>
    </row>
    <row r="15" spans="2:28">
      <c r="B15" s="11">
        <v>5</v>
      </c>
      <c r="C15" s="1" t="s">
        <v>475</v>
      </c>
      <c r="D15" s="1" t="s">
        <v>476</v>
      </c>
      <c r="E15" s="1" t="s">
        <v>477</v>
      </c>
      <c r="F15" s="29" t="s">
        <v>463</v>
      </c>
      <c r="G15" s="11">
        <v>2023</v>
      </c>
      <c r="H15" s="16">
        <v>45222</v>
      </c>
      <c r="I15" s="16">
        <v>45656</v>
      </c>
      <c r="J15" s="11" t="s">
        <v>464</v>
      </c>
      <c r="K15" s="12" t="s">
        <v>464</v>
      </c>
      <c r="L15" s="16">
        <v>45606</v>
      </c>
      <c r="M15" s="12" t="s">
        <v>87</v>
      </c>
      <c r="N15" s="11" t="s">
        <v>41</v>
      </c>
      <c r="O15" s="28">
        <v>850000000</v>
      </c>
      <c r="P15" s="2">
        <v>10</v>
      </c>
      <c r="Q15" s="25">
        <v>85000000</v>
      </c>
      <c r="R15" s="28">
        <v>9194486.3247692995</v>
      </c>
      <c r="S15" s="28">
        <v>9194487</v>
      </c>
      <c r="T15" s="28">
        <v>0</v>
      </c>
      <c r="U15" s="25">
        <v>66611026.675230697</v>
      </c>
      <c r="V15" s="25">
        <v>1838897</v>
      </c>
      <c r="W15" s="13">
        <v>0</v>
      </c>
      <c r="X15" s="13">
        <v>850000000</v>
      </c>
      <c r="Y15" s="13">
        <f t="shared" si="0"/>
        <v>170000000</v>
      </c>
      <c r="Z15" s="13"/>
      <c r="AA15" s="31"/>
      <c r="AB15" s="30"/>
    </row>
    <row r="16" spans="2:28">
      <c r="B16" s="11">
        <v>6</v>
      </c>
      <c r="C16" s="1" t="s">
        <v>478</v>
      </c>
      <c r="D16" s="1" t="s">
        <v>479</v>
      </c>
      <c r="E16" s="1" t="s">
        <v>381</v>
      </c>
      <c r="F16" s="29" t="s">
        <v>463</v>
      </c>
      <c r="G16" s="11">
        <v>2023</v>
      </c>
      <c r="H16" s="16">
        <v>45291</v>
      </c>
      <c r="I16" s="16">
        <v>45657</v>
      </c>
      <c r="J16" s="11">
        <v>2975</v>
      </c>
      <c r="K16" s="12" t="s">
        <v>205</v>
      </c>
      <c r="L16" s="16">
        <v>45641</v>
      </c>
      <c r="M16" s="12" t="s">
        <v>87</v>
      </c>
      <c r="N16" s="11" t="s">
        <v>41</v>
      </c>
      <c r="O16" s="25">
        <v>84972400</v>
      </c>
      <c r="P16" s="2">
        <v>10</v>
      </c>
      <c r="Q16" s="25">
        <v>8497240</v>
      </c>
      <c r="R16" s="25">
        <v>4248620</v>
      </c>
      <c r="S16" s="25">
        <v>4248619</v>
      </c>
      <c r="T16" s="25">
        <v>0</v>
      </c>
      <c r="U16" s="25">
        <v>1</v>
      </c>
      <c r="V16" s="25">
        <v>849724</v>
      </c>
      <c r="W16" s="13">
        <v>0</v>
      </c>
      <c r="X16" s="13">
        <v>0</v>
      </c>
      <c r="Y16" s="13">
        <f t="shared" si="0"/>
        <v>0</v>
      </c>
      <c r="Z16" s="13"/>
      <c r="AA16" s="31"/>
      <c r="AB16" s="30"/>
    </row>
    <row r="17" spans="2:28">
      <c r="B17" s="11">
        <v>7</v>
      </c>
      <c r="C17" s="1" t="s">
        <v>480</v>
      </c>
      <c r="D17" s="1" t="s">
        <v>481</v>
      </c>
      <c r="E17" s="1" t="s">
        <v>482</v>
      </c>
      <c r="F17" s="29" t="s">
        <v>463</v>
      </c>
      <c r="G17" s="11">
        <v>2023</v>
      </c>
      <c r="H17" s="16">
        <v>45291</v>
      </c>
      <c r="I17" s="16">
        <v>45657</v>
      </c>
      <c r="J17" s="11">
        <v>23002</v>
      </c>
      <c r="K17" s="12" t="s">
        <v>483</v>
      </c>
      <c r="L17" s="16">
        <v>45488</v>
      </c>
      <c r="M17" s="12" t="s">
        <v>87</v>
      </c>
      <c r="N17" s="11" t="s">
        <v>41</v>
      </c>
      <c r="O17" s="28">
        <v>16077071.999999998</v>
      </c>
      <c r="P17" s="2">
        <v>20</v>
      </c>
      <c r="Q17" s="25">
        <v>3215414.4</v>
      </c>
      <c r="R17" s="28">
        <v>1607707.2</v>
      </c>
      <c r="S17" s="28">
        <v>1607706</v>
      </c>
      <c r="T17" s="28">
        <v>0</v>
      </c>
      <c r="U17" s="25">
        <v>1.1999999999534339</v>
      </c>
      <c r="V17" s="25">
        <v>321541</v>
      </c>
      <c r="W17" s="18">
        <v>0</v>
      </c>
      <c r="X17" s="13">
        <v>0</v>
      </c>
      <c r="Y17" s="13">
        <f t="shared" si="0"/>
        <v>0</v>
      </c>
      <c r="Z17" s="13"/>
      <c r="AA17" s="31"/>
      <c r="AB17" s="30"/>
    </row>
    <row r="18" spans="2:28">
      <c r="B18" s="11">
        <v>8</v>
      </c>
      <c r="C18" s="1" t="s">
        <v>484</v>
      </c>
      <c r="D18" s="1" t="s">
        <v>485</v>
      </c>
      <c r="E18" s="1" t="s">
        <v>387</v>
      </c>
      <c r="F18" s="29" t="s">
        <v>463</v>
      </c>
      <c r="G18" s="11">
        <v>2023</v>
      </c>
      <c r="H18" s="16">
        <v>45291</v>
      </c>
      <c r="I18" s="16">
        <v>45657</v>
      </c>
      <c r="J18" s="11">
        <v>29371</v>
      </c>
      <c r="K18" s="12" t="s">
        <v>486</v>
      </c>
      <c r="L18" s="16">
        <v>45447</v>
      </c>
      <c r="M18" s="12" t="s">
        <v>87</v>
      </c>
      <c r="N18" s="11" t="s">
        <v>41</v>
      </c>
      <c r="O18" s="25">
        <v>13442500</v>
      </c>
      <c r="P18" s="2">
        <v>20</v>
      </c>
      <c r="Q18" s="25">
        <v>2688500</v>
      </c>
      <c r="R18" s="25">
        <v>1344250</v>
      </c>
      <c r="S18" s="25">
        <v>1344250</v>
      </c>
      <c r="T18" s="25">
        <v>0</v>
      </c>
      <c r="U18" s="25">
        <v>0</v>
      </c>
      <c r="V18" s="25">
        <v>268850</v>
      </c>
      <c r="W18" s="13">
        <v>0</v>
      </c>
      <c r="X18" s="13">
        <v>0</v>
      </c>
      <c r="Y18" s="13">
        <f t="shared" si="0"/>
        <v>0</v>
      </c>
      <c r="Z18" s="13"/>
      <c r="AA18" s="31"/>
      <c r="AB18" s="30"/>
    </row>
    <row r="19" spans="2:28">
      <c r="B19" s="11">
        <v>9</v>
      </c>
      <c r="C19" s="1" t="s">
        <v>487</v>
      </c>
      <c r="D19" s="1" t="s">
        <v>488</v>
      </c>
      <c r="E19" s="1" t="s">
        <v>489</v>
      </c>
      <c r="F19" s="29" t="s">
        <v>463</v>
      </c>
      <c r="G19" s="11">
        <v>2023</v>
      </c>
      <c r="H19" s="16">
        <v>45046</v>
      </c>
      <c r="I19" s="16">
        <v>45412</v>
      </c>
      <c r="J19" s="11" t="s">
        <v>464</v>
      </c>
      <c r="K19" s="12" t="s">
        <v>464</v>
      </c>
      <c r="L19" s="16">
        <v>45241</v>
      </c>
      <c r="M19" s="12" t="s">
        <v>269</v>
      </c>
      <c r="N19" s="11" t="s">
        <v>41</v>
      </c>
      <c r="O19" s="25">
        <v>24175830.524999999</v>
      </c>
      <c r="P19" s="2">
        <v>100</v>
      </c>
      <c r="Q19" s="25">
        <v>24175830.524999999</v>
      </c>
      <c r="R19" s="25">
        <v>7326009.25</v>
      </c>
      <c r="S19" s="25">
        <v>7326009</v>
      </c>
      <c r="T19" s="25">
        <v>0</v>
      </c>
      <c r="U19" s="25">
        <v>9523812.2749999985</v>
      </c>
      <c r="V19" s="25">
        <v>1465202</v>
      </c>
      <c r="W19" s="13">
        <v>0</v>
      </c>
      <c r="X19" s="13">
        <v>0</v>
      </c>
      <c r="Y19" s="13">
        <f t="shared" si="0"/>
        <v>0</v>
      </c>
      <c r="Z19" s="13"/>
      <c r="AA19" s="31"/>
      <c r="AB19" s="30"/>
    </row>
    <row r="20" spans="2:28">
      <c r="B20" s="11">
        <v>10</v>
      </c>
      <c r="C20" s="1" t="s">
        <v>490</v>
      </c>
      <c r="D20" s="1" t="s">
        <v>491</v>
      </c>
      <c r="E20" s="1" t="s">
        <v>492</v>
      </c>
      <c r="F20" s="29" t="s">
        <v>463</v>
      </c>
      <c r="G20" s="11">
        <v>2024</v>
      </c>
      <c r="H20" s="16">
        <v>45579</v>
      </c>
      <c r="I20" s="16">
        <v>45944</v>
      </c>
      <c r="J20" s="11" t="s">
        <v>493</v>
      </c>
      <c r="K20" s="12" t="s">
        <v>494</v>
      </c>
      <c r="L20" s="16">
        <v>45698</v>
      </c>
      <c r="M20" s="12" t="s">
        <v>40</v>
      </c>
      <c r="N20" s="11" t="s">
        <v>41</v>
      </c>
      <c r="O20" s="25">
        <v>10666750.35</v>
      </c>
      <c r="P20" s="2">
        <v>100</v>
      </c>
      <c r="Q20" s="25">
        <v>10666750.35</v>
      </c>
      <c r="R20" s="25">
        <v>5333375.1749999998</v>
      </c>
      <c r="S20" s="25">
        <v>5333376</v>
      </c>
      <c r="T20" s="25">
        <v>0</v>
      </c>
      <c r="U20" s="25">
        <v>-0.82500000018626451</v>
      </c>
      <c r="V20" s="25">
        <v>266669</v>
      </c>
      <c r="W20" s="13">
        <v>0</v>
      </c>
      <c r="X20" s="13">
        <v>0</v>
      </c>
      <c r="Y20" s="13">
        <f>X20*5%</f>
        <v>0</v>
      </c>
      <c r="Z20" s="13"/>
      <c r="AA20" s="31"/>
      <c r="AB20" s="30"/>
    </row>
    <row r="21" spans="2:28">
      <c r="B21" s="11">
        <v>11</v>
      </c>
      <c r="C21" s="1" t="s">
        <v>495</v>
      </c>
      <c r="D21" s="1" t="s">
        <v>491</v>
      </c>
      <c r="E21" s="1" t="s">
        <v>492</v>
      </c>
      <c r="F21" s="29" t="s">
        <v>463</v>
      </c>
      <c r="G21" s="11">
        <v>2024</v>
      </c>
      <c r="H21" s="16">
        <v>45579</v>
      </c>
      <c r="I21" s="16">
        <v>45944</v>
      </c>
      <c r="J21" s="11" t="s">
        <v>493</v>
      </c>
      <c r="K21" s="12" t="s">
        <v>494</v>
      </c>
      <c r="L21" s="16">
        <v>45779</v>
      </c>
      <c r="M21" s="12" t="s">
        <v>40</v>
      </c>
      <c r="N21" s="11" t="s">
        <v>41</v>
      </c>
      <c r="O21" s="25">
        <v>235997750.69999999</v>
      </c>
      <c r="P21" s="2">
        <v>100</v>
      </c>
      <c r="Q21" s="25">
        <v>235997750.69999999</v>
      </c>
      <c r="R21" s="25">
        <v>117998875.34999999</v>
      </c>
      <c r="S21" s="25">
        <v>117998877</v>
      </c>
      <c r="T21" s="25">
        <v>0</v>
      </c>
      <c r="U21" s="25">
        <v>-1.6500000059604645</v>
      </c>
      <c r="V21" s="25">
        <v>5899944</v>
      </c>
      <c r="W21" s="13">
        <v>0</v>
      </c>
      <c r="X21" s="13">
        <v>353636477.10000002</v>
      </c>
      <c r="Y21" s="13">
        <f t="shared" ref="Y21:Y60" si="1">X21*5%</f>
        <v>17681823.855</v>
      </c>
      <c r="Z21" s="13"/>
      <c r="AA21" s="31"/>
      <c r="AB21" s="30"/>
    </row>
    <row r="22" spans="2:28">
      <c r="B22" s="11">
        <v>12</v>
      </c>
      <c r="C22" s="1" t="s">
        <v>496</v>
      </c>
      <c r="D22" s="1" t="s">
        <v>497</v>
      </c>
      <c r="E22" s="1" t="s">
        <v>498</v>
      </c>
      <c r="F22" s="29" t="s">
        <v>463</v>
      </c>
      <c r="G22" s="11">
        <v>2024</v>
      </c>
      <c r="H22" s="16">
        <v>45519</v>
      </c>
      <c r="I22" s="16">
        <v>45884</v>
      </c>
      <c r="J22" s="11" t="s">
        <v>499</v>
      </c>
      <c r="K22" s="12" t="s">
        <v>500</v>
      </c>
      <c r="L22" s="16">
        <v>45741</v>
      </c>
      <c r="M22" s="12" t="s">
        <v>40</v>
      </c>
      <c r="N22" s="11" t="s">
        <v>41</v>
      </c>
      <c r="O22" s="28">
        <v>39513742</v>
      </c>
      <c r="P22" s="2">
        <v>100</v>
      </c>
      <c r="Q22" s="25">
        <v>39513742</v>
      </c>
      <c r="R22" s="28">
        <v>19756871</v>
      </c>
      <c r="S22" s="28">
        <v>19756871</v>
      </c>
      <c r="T22" s="28">
        <v>0</v>
      </c>
      <c r="U22" s="25">
        <v>0</v>
      </c>
      <c r="V22" s="25">
        <v>987844</v>
      </c>
      <c r="W22" s="18">
        <v>0</v>
      </c>
      <c r="X22" s="13">
        <v>0</v>
      </c>
      <c r="Y22" s="13">
        <f t="shared" si="1"/>
        <v>0</v>
      </c>
      <c r="Z22" s="13"/>
      <c r="AA22" s="31"/>
      <c r="AB22" s="30"/>
    </row>
    <row r="23" spans="2:28">
      <c r="B23" s="11">
        <v>13</v>
      </c>
      <c r="C23" s="1" t="s">
        <v>501</v>
      </c>
      <c r="D23" s="1" t="s">
        <v>502</v>
      </c>
      <c r="E23" s="1" t="s">
        <v>503</v>
      </c>
      <c r="F23" s="29" t="s">
        <v>463</v>
      </c>
      <c r="G23" s="11">
        <v>2024</v>
      </c>
      <c r="H23" s="16">
        <v>45555</v>
      </c>
      <c r="I23" s="16">
        <v>45920</v>
      </c>
      <c r="J23" s="11" t="s">
        <v>464</v>
      </c>
      <c r="K23" s="12" t="s">
        <v>464</v>
      </c>
      <c r="L23" s="16">
        <v>45646</v>
      </c>
      <c r="M23" s="12" t="s">
        <v>40</v>
      </c>
      <c r="N23" s="11" t="s">
        <v>41</v>
      </c>
      <c r="O23" s="25">
        <v>40521547</v>
      </c>
      <c r="P23" s="2">
        <v>100</v>
      </c>
      <c r="Q23" s="25">
        <v>40521547</v>
      </c>
      <c r="R23" s="25">
        <v>20260773.499999899</v>
      </c>
      <c r="S23" s="25">
        <v>20260773</v>
      </c>
      <c r="T23" s="25">
        <v>0</v>
      </c>
      <c r="U23" s="25">
        <v>0.50000010058283806</v>
      </c>
      <c r="V23" s="25">
        <v>1013039</v>
      </c>
      <c r="W23" s="13">
        <v>0</v>
      </c>
      <c r="X23" s="13">
        <v>0</v>
      </c>
      <c r="Y23" s="13">
        <f t="shared" si="1"/>
        <v>0</v>
      </c>
      <c r="Z23" s="13"/>
      <c r="AA23" s="31"/>
      <c r="AB23" s="30"/>
    </row>
    <row r="24" spans="2:28">
      <c r="B24" s="11">
        <v>14</v>
      </c>
      <c r="C24" s="1" t="s">
        <v>504</v>
      </c>
      <c r="D24" s="1" t="s">
        <v>505</v>
      </c>
      <c r="E24" s="1" t="s">
        <v>506</v>
      </c>
      <c r="F24" s="29" t="s">
        <v>463</v>
      </c>
      <c r="G24" s="11">
        <v>2024</v>
      </c>
      <c r="H24" s="16">
        <v>45607</v>
      </c>
      <c r="I24" s="16">
        <v>45972</v>
      </c>
      <c r="J24" s="11" t="s">
        <v>464</v>
      </c>
      <c r="K24" s="12" t="s">
        <v>464</v>
      </c>
      <c r="L24" s="16">
        <v>45638</v>
      </c>
      <c r="M24" s="12" t="s">
        <v>40</v>
      </c>
      <c r="N24" s="11" t="s">
        <v>41</v>
      </c>
      <c r="O24" s="25">
        <v>389355210</v>
      </c>
      <c r="P24" s="2">
        <v>100</v>
      </c>
      <c r="Q24" s="25">
        <v>389355210</v>
      </c>
      <c r="R24" s="25">
        <v>194677605</v>
      </c>
      <c r="S24" s="25">
        <v>194677605</v>
      </c>
      <c r="T24" s="25">
        <v>0</v>
      </c>
      <c r="U24" s="25">
        <v>0</v>
      </c>
      <c r="V24" s="25">
        <v>9733880</v>
      </c>
      <c r="W24" s="13">
        <v>0</v>
      </c>
      <c r="X24" s="13">
        <v>428971140</v>
      </c>
      <c r="Y24" s="13">
        <f t="shared" si="1"/>
        <v>21448557</v>
      </c>
      <c r="Z24" s="13"/>
      <c r="AA24" s="31"/>
      <c r="AB24" s="30"/>
    </row>
    <row r="25" spans="2:28">
      <c r="B25" s="11">
        <v>15</v>
      </c>
      <c r="C25" s="1" t="s">
        <v>507</v>
      </c>
      <c r="D25" s="1" t="s">
        <v>508</v>
      </c>
      <c r="E25" s="1" t="s">
        <v>509</v>
      </c>
      <c r="F25" s="29" t="s">
        <v>463</v>
      </c>
      <c r="G25" s="11">
        <v>2024</v>
      </c>
      <c r="H25" s="16">
        <v>45292</v>
      </c>
      <c r="I25" s="16">
        <v>45658</v>
      </c>
      <c r="J25" s="11" t="s">
        <v>464</v>
      </c>
      <c r="K25" s="12" t="s">
        <v>464</v>
      </c>
      <c r="L25" s="16">
        <v>45604</v>
      </c>
      <c r="M25" s="12" t="s">
        <v>40</v>
      </c>
      <c r="N25" s="11" t="s">
        <v>41</v>
      </c>
      <c r="O25" s="25">
        <v>37673422</v>
      </c>
      <c r="P25" s="2">
        <v>100</v>
      </c>
      <c r="Q25" s="25">
        <v>37673422</v>
      </c>
      <c r="R25" s="25">
        <v>18836711</v>
      </c>
      <c r="S25" s="25">
        <v>18836711</v>
      </c>
      <c r="T25" s="25">
        <v>0</v>
      </c>
      <c r="U25" s="25">
        <v>0</v>
      </c>
      <c r="V25" s="25">
        <v>941836</v>
      </c>
      <c r="W25" s="13">
        <v>0</v>
      </c>
      <c r="X25" s="13">
        <v>405475452</v>
      </c>
      <c r="Y25" s="13">
        <f t="shared" si="1"/>
        <v>20273772.600000001</v>
      </c>
      <c r="Z25" s="13"/>
      <c r="AA25" s="31"/>
      <c r="AB25" s="30"/>
    </row>
    <row r="26" spans="2:28">
      <c r="B26" s="11">
        <v>16</v>
      </c>
      <c r="C26" s="1" t="s">
        <v>510</v>
      </c>
      <c r="D26" s="1" t="s">
        <v>511</v>
      </c>
      <c r="E26" s="1" t="s">
        <v>512</v>
      </c>
      <c r="F26" s="29" t="s">
        <v>463</v>
      </c>
      <c r="G26" s="11">
        <v>2024</v>
      </c>
      <c r="H26" s="16">
        <v>45310</v>
      </c>
      <c r="I26" s="16">
        <v>45676</v>
      </c>
      <c r="J26" s="11" t="s">
        <v>464</v>
      </c>
      <c r="K26" s="12" t="s">
        <v>464</v>
      </c>
      <c r="L26" s="16">
        <v>45552</v>
      </c>
      <c r="M26" s="12" t="s">
        <v>40</v>
      </c>
      <c r="N26" s="11" t="s">
        <v>41</v>
      </c>
      <c r="O26" s="25">
        <v>173875007</v>
      </c>
      <c r="P26" s="2">
        <v>100</v>
      </c>
      <c r="Q26" s="25">
        <v>173875007</v>
      </c>
      <c r="R26" s="25">
        <v>86937503.5</v>
      </c>
      <c r="S26" s="25">
        <v>86937505</v>
      </c>
      <c r="T26" s="25">
        <v>0</v>
      </c>
      <c r="U26" s="25">
        <v>-1.5</v>
      </c>
      <c r="V26" s="25">
        <v>4346875</v>
      </c>
      <c r="W26" s="13">
        <v>0</v>
      </c>
      <c r="X26" s="13">
        <v>152978350</v>
      </c>
      <c r="Y26" s="13">
        <f t="shared" si="1"/>
        <v>7648917.5</v>
      </c>
      <c r="Z26" s="13"/>
      <c r="AA26" s="31"/>
      <c r="AB26" s="30"/>
    </row>
    <row r="27" spans="2:28">
      <c r="B27" s="11">
        <v>17</v>
      </c>
      <c r="C27" s="1" t="s">
        <v>513</v>
      </c>
      <c r="D27" s="1" t="s">
        <v>514</v>
      </c>
      <c r="E27" s="1" t="s">
        <v>515</v>
      </c>
      <c r="F27" s="29" t="s">
        <v>463</v>
      </c>
      <c r="G27" s="11">
        <v>2024</v>
      </c>
      <c r="H27" s="16">
        <v>45460</v>
      </c>
      <c r="I27" s="16">
        <v>45825</v>
      </c>
      <c r="J27" s="11" t="s">
        <v>464</v>
      </c>
      <c r="K27" s="12" t="s">
        <v>464</v>
      </c>
      <c r="L27" s="16">
        <v>45779</v>
      </c>
      <c r="M27" s="12" t="s">
        <v>40</v>
      </c>
      <c r="N27" s="11" t="s">
        <v>41</v>
      </c>
      <c r="O27" s="25">
        <v>89546760</v>
      </c>
      <c r="P27" s="2">
        <v>100</v>
      </c>
      <c r="Q27" s="25">
        <v>89546760</v>
      </c>
      <c r="R27" s="25">
        <v>44773380</v>
      </c>
      <c r="S27" s="25">
        <v>44773382</v>
      </c>
      <c r="T27" s="25">
        <v>0</v>
      </c>
      <c r="U27" s="25">
        <v>-2</v>
      </c>
      <c r="V27" s="25">
        <v>2238670</v>
      </c>
      <c r="W27" s="13">
        <v>0</v>
      </c>
      <c r="X27" s="13">
        <v>0</v>
      </c>
      <c r="Y27" s="13">
        <f t="shared" si="1"/>
        <v>0</v>
      </c>
      <c r="Z27" s="13"/>
      <c r="AA27" s="31"/>
      <c r="AB27" s="30"/>
    </row>
    <row r="28" spans="2:28">
      <c r="B28" s="11">
        <v>18</v>
      </c>
      <c r="C28" s="1" t="s">
        <v>516</v>
      </c>
      <c r="D28" s="1" t="s">
        <v>517</v>
      </c>
      <c r="E28" s="1" t="s">
        <v>518</v>
      </c>
      <c r="F28" s="29" t="s">
        <v>463</v>
      </c>
      <c r="G28" s="11">
        <v>2024</v>
      </c>
      <c r="H28" s="16">
        <v>45450</v>
      </c>
      <c r="I28" s="16">
        <v>45815</v>
      </c>
      <c r="J28" s="11" t="s">
        <v>464</v>
      </c>
      <c r="K28" s="12" t="s">
        <v>464</v>
      </c>
      <c r="L28" s="16">
        <v>45555</v>
      </c>
      <c r="M28" s="12" t="s">
        <v>40</v>
      </c>
      <c r="N28" s="11" t="s">
        <v>41</v>
      </c>
      <c r="O28" s="25">
        <v>138954406</v>
      </c>
      <c r="P28" s="2">
        <v>100</v>
      </c>
      <c r="Q28" s="25">
        <v>138954406</v>
      </c>
      <c r="R28" s="25">
        <v>69477203</v>
      </c>
      <c r="S28" s="25">
        <v>69477203</v>
      </c>
      <c r="T28" s="25">
        <v>0</v>
      </c>
      <c r="U28" s="25">
        <v>0</v>
      </c>
      <c r="V28" s="25">
        <v>3473861</v>
      </c>
      <c r="W28" s="13">
        <v>0</v>
      </c>
      <c r="X28" s="13">
        <v>120769500</v>
      </c>
      <c r="Y28" s="13">
        <f t="shared" si="1"/>
        <v>6038475</v>
      </c>
      <c r="Z28" s="13"/>
      <c r="AA28" s="31"/>
      <c r="AB28" s="30"/>
    </row>
    <row r="29" spans="2:28" s="14" customFormat="1">
      <c r="B29" s="11">
        <v>19</v>
      </c>
      <c r="C29" s="12" t="s">
        <v>519</v>
      </c>
      <c r="D29" s="12" t="s">
        <v>520</v>
      </c>
      <c r="E29" s="12" t="s">
        <v>521</v>
      </c>
      <c r="F29" s="29" t="s">
        <v>463</v>
      </c>
      <c r="G29" s="11">
        <v>2024</v>
      </c>
      <c r="H29" s="16">
        <v>45520</v>
      </c>
      <c r="I29" s="16">
        <v>45885</v>
      </c>
      <c r="J29" s="11" t="s">
        <v>464</v>
      </c>
      <c r="K29" s="12" t="s">
        <v>464</v>
      </c>
      <c r="L29" s="16">
        <v>45672</v>
      </c>
      <c r="M29" s="12" t="s">
        <v>40</v>
      </c>
      <c r="N29" s="11" t="s">
        <v>41</v>
      </c>
      <c r="O29" s="25">
        <v>293767746</v>
      </c>
      <c r="P29" s="2">
        <v>100</v>
      </c>
      <c r="Q29" s="25">
        <v>293767746</v>
      </c>
      <c r="R29" s="25">
        <v>146883873</v>
      </c>
      <c r="S29" s="25">
        <v>146883874</v>
      </c>
      <c r="T29" s="25">
        <v>0</v>
      </c>
      <c r="U29" s="25">
        <v>-1</v>
      </c>
      <c r="V29" s="25">
        <v>7344193</v>
      </c>
      <c r="W29" s="13">
        <v>0</v>
      </c>
      <c r="X29" s="13">
        <v>255611496</v>
      </c>
      <c r="Y29" s="13">
        <f t="shared" si="1"/>
        <v>12780574.800000001</v>
      </c>
      <c r="Z29" s="13"/>
      <c r="AA29" s="31"/>
      <c r="AB29" s="30"/>
    </row>
    <row r="30" spans="2:28">
      <c r="B30" s="11">
        <v>20</v>
      </c>
      <c r="C30" s="1" t="s">
        <v>522</v>
      </c>
      <c r="D30" s="1" t="s">
        <v>523</v>
      </c>
      <c r="E30" s="1" t="s">
        <v>524</v>
      </c>
      <c r="F30" s="29" t="s">
        <v>463</v>
      </c>
      <c r="G30" s="11">
        <v>2024</v>
      </c>
      <c r="H30" s="16">
        <v>45516</v>
      </c>
      <c r="I30" s="16">
        <v>45881</v>
      </c>
      <c r="J30" s="11" t="s">
        <v>464</v>
      </c>
      <c r="K30" s="12" t="s">
        <v>464</v>
      </c>
      <c r="L30" s="16">
        <v>45706</v>
      </c>
      <c r="M30" s="12" t="s">
        <v>40</v>
      </c>
      <c r="N30" s="11" t="s">
        <v>41</v>
      </c>
      <c r="O30" s="25">
        <v>469275000</v>
      </c>
      <c r="P30" s="2">
        <v>100</v>
      </c>
      <c r="Q30" s="25">
        <v>469275000</v>
      </c>
      <c r="R30" s="25">
        <v>234637500</v>
      </c>
      <c r="S30" s="25">
        <v>234637500</v>
      </c>
      <c r="T30" s="25">
        <v>0</v>
      </c>
      <c r="U30" s="25">
        <v>0</v>
      </c>
      <c r="V30" s="25">
        <v>11731875</v>
      </c>
      <c r="W30" s="13">
        <v>0</v>
      </c>
      <c r="X30" s="13">
        <v>0</v>
      </c>
      <c r="Y30" s="13">
        <f t="shared" si="1"/>
        <v>0</v>
      </c>
      <c r="Z30" s="13"/>
      <c r="AA30" s="31"/>
      <c r="AB30" s="30"/>
    </row>
    <row r="31" spans="2:28">
      <c r="B31" s="11">
        <v>21</v>
      </c>
      <c r="C31" s="1" t="s">
        <v>525</v>
      </c>
      <c r="D31" s="1" t="s">
        <v>526</v>
      </c>
      <c r="E31" s="1" t="s">
        <v>527</v>
      </c>
      <c r="F31" s="29" t="s">
        <v>463</v>
      </c>
      <c r="G31" s="11">
        <v>2024</v>
      </c>
      <c r="H31" s="16">
        <v>45453</v>
      </c>
      <c r="I31" s="16">
        <v>45818</v>
      </c>
      <c r="J31" s="11">
        <v>20</v>
      </c>
      <c r="K31" s="12" t="s">
        <v>528</v>
      </c>
      <c r="L31" s="16">
        <v>45654</v>
      </c>
      <c r="M31" s="12" t="s">
        <v>40</v>
      </c>
      <c r="N31" s="11" t="s">
        <v>41</v>
      </c>
      <c r="O31" s="25">
        <v>144005021</v>
      </c>
      <c r="P31" s="2">
        <v>100</v>
      </c>
      <c r="Q31" s="25">
        <v>144005021</v>
      </c>
      <c r="R31" s="25">
        <v>72002510.5</v>
      </c>
      <c r="S31" s="25">
        <v>72002511</v>
      </c>
      <c r="T31" s="25">
        <v>0</v>
      </c>
      <c r="U31" s="25">
        <v>-0.5</v>
      </c>
      <c r="V31" s="25">
        <v>3600126</v>
      </c>
      <c r="W31" s="13">
        <v>0</v>
      </c>
      <c r="X31" s="13">
        <v>118605716</v>
      </c>
      <c r="Y31" s="13">
        <f t="shared" si="1"/>
        <v>5930285.8000000007</v>
      </c>
      <c r="Z31" s="13"/>
      <c r="AA31" s="31"/>
      <c r="AB31" s="30"/>
    </row>
    <row r="32" spans="2:28">
      <c r="B32" s="11">
        <v>22</v>
      </c>
      <c r="C32" s="1" t="s">
        <v>529</v>
      </c>
      <c r="D32" s="1" t="s">
        <v>530</v>
      </c>
      <c r="E32" s="1" t="s">
        <v>527</v>
      </c>
      <c r="F32" s="29" t="s">
        <v>463</v>
      </c>
      <c r="G32" s="11">
        <v>2024</v>
      </c>
      <c r="H32" s="16">
        <v>45601</v>
      </c>
      <c r="I32" s="16">
        <v>45966</v>
      </c>
      <c r="J32" s="11">
        <v>20</v>
      </c>
      <c r="K32" s="12" t="s">
        <v>528</v>
      </c>
      <c r="L32" s="16">
        <v>45695</v>
      </c>
      <c r="M32" s="12" t="s">
        <v>40</v>
      </c>
      <c r="N32" s="11" t="s">
        <v>41</v>
      </c>
      <c r="O32" s="25">
        <v>88409280</v>
      </c>
      <c r="P32" s="2">
        <v>100</v>
      </c>
      <c r="Q32" s="25">
        <v>88409280</v>
      </c>
      <c r="R32" s="25">
        <v>44204640</v>
      </c>
      <c r="S32" s="25">
        <v>44204640</v>
      </c>
      <c r="T32" s="25">
        <v>0</v>
      </c>
      <c r="U32" s="25">
        <v>0</v>
      </c>
      <c r="V32" s="25">
        <v>2210232</v>
      </c>
      <c r="W32" s="13">
        <v>0</v>
      </c>
      <c r="X32" s="13">
        <v>88409280</v>
      </c>
      <c r="Y32" s="13">
        <f t="shared" si="1"/>
        <v>4420464</v>
      </c>
      <c r="Z32" s="13"/>
      <c r="AA32" s="31"/>
      <c r="AB32" s="30"/>
    </row>
    <row r="33" spans="2:28">
      <c r="B33" s="11">
        <v>23</v>
      </c>
      <c r="C33" s="1" t="s">
        <v>531</v>
      </c>
      <c r="D33" s="1" t="s">
        <v>532</v>
      </c>
      <c r="E33" s="1" t="s">
        <v>533</v>
      </c>
      <c r="F33" s="29" t="s">
        <v>463</v>
      </c>
      <c r="G33" s="11">
        <v>2024</v>
      </c>
      <c r="H33" s="16">
        <v>45505</v>
      </c>
      <c r="I33" s="16">
        <v>45870</v>
      </c>
      <c r="J33" s="11">
        <v>29371</v>
      </c>
      <c r="K33" s="12" t="s">
        <v>534</v>
      </c>
      <c r="L33" s="16">
        <v>45526</v>
      </c>
      <c r="M33" s="12" t="s">
        <v>40</v>
      </c>
      <c r="N33" s="11" t="s">
        <v>41</v>
      </c>
      <c r="O33" s="25">
        <v>110242044</v>
      </c>
      <c r="P33" s="2">
        <v>100</v>
      </c>
      <c r="Q33" s="25">
        <v>110242044</v>
      </c>
      <c r="R33" s="25">
        <v>55121022</v>
      </c>
      <c r="S33" s="25">
        <v>55121021</v>
      </c>
      <c r="T33" s="25">
        <v>0</v>
      </c>
      <c r="U33" s="25">
        <v>1</v>
      </c>
      <c r="V33" s="25">
        <v>2756051</v>
      </c>
      <c r="W33" s="13">
        <v>0</v>
      </c>
      <c r="X33" s="13">
        <v>88853844</v>
      </c>
      <c r="Y33" s="13">
        <f t="shared" si="1"/>
        <v>4442692.2</v>
      </c>
      <c r="Z33" s="13"/>
      <c r="AA33" s="31"/>
      <c r="AB33" s="30"/>
    </row>
    <row r="34" spans="2:28">
      <c r="B34" s="11">
        <v>24</v>
      </c>
      <c r="C34" s="1" t="s">
        <v>535</v>
      </c>
      <c r="D34" s="1" t="s">
        <v>536</v>
      </c>
      <c r="E34" s="1" t="s">
        <v>537</v>
      </c>
      <c r="F34" s="29" t="s">
        <v>463</v>
      </c>
      <c r="G34" s="11">
        <v>2024</v>
      </c>
      <c r="H34" s="16">
        <v>45565</v>
      </c>
      <c r="I34" s="16">
        <v>45930</v>
      </c>
      <c r="J34" s="11">
        <v>-12</v>
      </c>
      <c r="K34" s="12" t="s">
        <v>538</v>
      </c>
      <c r="L34" s="16">
        <v>45771</v>
      </c>
      <c r="M34" s="12" t="s">
        <v>40</v>
      </c>
      <c r="N34" s="11" t="s">
        <v>41</v>
      </c>
      <c r="O34" s="25">
        <v>22284845</v>
      </c>
      <c r="P34" s="2">
        <v>100</v>
      </c>
      <c r="Q34" s="25">
        <v>22284845</v>
      </c>
      <c r="R34" s="25">
        <v>11142422.5</v>
      </c>
      <c r="S34" s="25">
        <v>11142421</v>
      </c>
      <c r="T34" s="25">
        <v>0</v>
      </c>
      <c r="U34" s="25">
        <v>1.5</v>
      </c>
      <c r="V34" s="25">
        <v>557121</v>
      </c>
      <c r="W34" s="13">
        <v>0</v>
      </c>
      <c r="X34" s="13">
        <v>22284845</v>
      </c>
      <c r="Y34" s="13">
        <f t="shared" si="1"/>
        <v>1114242.25</v>
      </c>
      <c r="Z34" s="13"/>
      <c r="AA34" s="31"/>
      <c r="AB34" s="30"/>
    </row>
    <row r="35" spans="2:28">
      <c r="B35" s="11">
        <v>25</v>
      </c>
      <c r="C35" s="1" t="s">
        <v>539</v>
      </c>
      <c r="D35" s="1" t="s">
        <v>540</v>
      </c>
      <c r="E35" s="1" t="s">
        <v>541</v>
      </c>
      <c r="F35" s="29" t="s">
        <v>463</v>
      </c>
      <c r="G35" s="11">
        <v>2024</v>
      </c>
      <c r="H35" s="16">
        <v>45457</v>
      </c>
      <c r="I35" s="16">
        <v>45822</v>
      </c>
      <c r="J35" s="11" t="s">
        <v>464</v>
      </c>
      <c r="K35" s="12" t="s">
        <v>464</v>
      </c>
      <c r="L35" s="16">
        <v>45720</v>
      </c>
      <c r="M35" s="12" t="s">
        <v>40</v>
      </c>
      <c r="N35" s="11" t="s">
        <v>41</v>
      </c>
      <c r="O35" s="25">
        <v>225973556</v>
      </c>
      <c r="P35" s="2">
        <v>100</v>
      </c>
      <c r="Q35" s="25">
        <v>225973556</v>
      </c>
      <c r="R35" s="25">
        <v>112986778</v>
      </c>
      <c r="S35" s="25">
        <v>112986779</v>
      </c>
      <c r="T35" s="25">
        <v>0</v>
      </c>
      <c r="U35" s="25">
        <v>-1</v>
      </c>
      <c r="V35" s="25">
        <v>5649339</v>
      </c>
      <c r="W35" s="13">
        <v>0</v>
      </c>
      <c r="X35" s="13">
        <v>486000000</v>
      </c>
      <c r="Y35" s="13">
        <f t="shared" si="1"/>
        <v>24300000</v>
      </c>
      <c r="Z35" s="13"/>
      <c r="AA35" s="31"/>
      <c r="AB35" s="30"/>
    </row>
    <row r="36" spans="2:28">
      <c r="B36" s="11">
        <v>26</v>
      </c>
      <c r="C36" s="1" t="s">
        <v>542</v>
      </c>
      <c r="D36" s="1" t="s">
        <v>543</v>
      </c>
      <c r="E36" s="1" t="s">
        <v>544</v>
      </c>
      <c r="F36" s="29" t="s">
        <v>463</v>
      </c>
      <c r="G36" s="11">
        <v>2024</v>
      </c>
      <c r="H36" s="16">
        <v>45505</v>
      </c>
      <c r="I36" s="16">
        <v>45870</v>
      </c>
      <c r="J36" s="11" t="s">
        <v>464</v>
      </c>
      <c r="K36" s="12" t="s">
        <v>464</v>
      </c>
      <c r="L36" s="16">
        <v>45606</v>
      </c>
      <c r="M36" s="12" t="s">
        <v>40</v>
      </c>
      <c r="N36" s="11" t="s">
        <v>41</v>
      </c>
      <c r="O36" s="25">
        <v>71107349</v>
      </c>
      <c r="P36" s="2">
        <v>100</v>
      </c>
      <c r="Q36" s="25">
        <v>71107349</v>
      </c>
      <c r="R36" s="25">
        <v>35553674.5</v>
      </c>
      <c r="S36" s="25">
        <v>35553674</v>
      </c>
      <c r="T36" s="25">
        <v>0</v>
      </c>
      <c r="U36" s="25">
        <v>0.5</v>
      </c>
      <c r="V36" s="25">
        <v>1777684</v>
      </c>
      <c r="W36" s="13">
        <v>0</v>
      </c>
      <c r="X36" s="13">
        <v>71107349</v>
      </c>
      <c r="Y36" s="13">
        <f t="shared" si="1"/>
        <v>3555367.45</v>
      </c>
      <c r="Z36" s="13"/>
      <c r="AA36" s="31"/>
      <c r="AB36" s="30"/>
    </row>
    <row r="37" spans="2:28">
      <c r="B37" s="11">
        <v>27</v>
      </c>
      <c r="C37" s="1" t="s">
        <v>545</v>
      </c>
      <c r="D37" s="1" t="s">
        <v>543</v>
      </c>
      <c r="E37" s="1" t="s">
        <v>544</v>
      </c>
      <c r="F37" s="29" t="s">
        <v>463</v>
      </c>
      <c r="G37" s="11">
        <v>2024</v>
      </c>
      <c r="H37" s="16">
        <v>45505</v>
      </c>
      <c r="I37" s="16">
        <v>45870</v>
      </c>
      <c r="J37" s="11" t="s">
        <v>464</v>
      </c>
      <c r="K37" s="12" t="s">
        <v>464</v>
      </c>
      <c r="L37" s="16">
        <v>45833</v>
      </c>
      <c r="M37" s="12" t="s">
        <v>40</v>
      </c>
      <c r="N37" s="11" t="s">
        <v>41</v>
      </c>
      <c r="O37" s="28">
        <v>69098670</v>
      </c>
      <c r="P37" s="2">
        <v>100</v>
      </c>
      <c r="Q37" s="25">
        <v>69098670</v>
      </c>
      <c r="R37" s="28">
        <v>34549335</v>
      </c>
      <c r="S37" s="28">
        <v>34549336</v>
      </c>
      <c r="T37" s="28">
        <v>0</v>
      </c>
      <c r="U37" s="25">
        <v>-1</v>
      </c>
      <c r="V37" s="25">
        <v>1727467</v>
      </c>
      <c r="W37" s="18">
        <v>0</v>
      </c>
      <c r="X37" s="13">
        <v>79098670</v>
      </c>
      <c r="Y37" s="13">
        <f t="shared" si="1"/>
        <v>3954933.5</v>
      </c>
      <c r="Z37" s="13"/>
      <c r="AA37" s="31"/>
      <c r="AB37" s="30"/>
    </row>
    <row r="38" spans="2:28">
      <c r="B38" s="11">
        <v>28</v>
      </c>
      <c r="C38" s="1" t="s">
        <v>546</v>
      </c>
      <c r="D38" s="1" t="s">
        <v>547</v>
      </c>
      <c r="E38" s="1" t="s">
        <v>548</v>
      </c>
      <c r="F38" s="29" t="s">
        <v>463</v>
      </c>
      <c r="G38" s="11">
        <v>2024</v>
      </c>
      <c r="H38" s="16">
        <v>45529</v>
      </c>
      <c r="I38" s="16">
        <v>45894</v>
      </c>
      <c r="J38" s="11">
        <v>2142</v>
      </c>
      <c r="K38" s="12" t="s">
        <v>549</v>
      </c>
      <c r="L38" s="16">
        <v>45568</v>
      </c>
      <c r="M38" s="12" t="s">
        <v>87</v>
      </c>
      <c r="N38" s="11" t="s">
        <v>41</v>
      </c>
      <c r="O38" s="25">
        <v>254932500</v>
      </c>
      <c r="P38" s="2">
        <v>10</v>
      </c>
      <c r="Q38" s="25">
        <v>25493250</v>
      </c>
      <c r="R38" s="25">
        <v>12746625</v>
      </c>
      <c r="S38" s="25">
        <v>12746624</v>
      </c>
      <c r="T38" s="25">
        <v>0</v>
      </c>
      <c r="U38" s="25">
        <v>1</v>
      </c>
      <c r="V38" s="25">
        <v>637331</v>
      </c>
      <c r="W38" s="13">
        <v>0</v>
      </c>
      <c r="X38" s="13">
        <v>0</v>
      </c>
      <c r="Y38" s="13">
        <f t="shared" si="1"/>
        <v>0</v>
      </c>
      <c r="Z38" s="13"/>
      <c r="AA38" s="31"/>
      <c r="AB38" s="30"/>
    </row>
    <row r="39" spans="2:28">
      <c r="B39" s="11">
        <v>29</v>
      </c>
      <c r="C39" s="1" t="s">
        <v>550</v>
      </c>
      <c r="D39" s="1" t="s">
        <v>551</v>
      </c>
      <c r="E39" s="1" t="s">
        <v>552</v>
      </c>
      <c r="F39" s="29" t="s">
        <v>463</v>
      </c>
      <c r="G39" s="11">
        <v>2024</v>
      </c>
      <c r="H39" s="16">
        <v>45596</v>
      </c>
      <c r="I39" s="16">
        <v>45961</v>
      </c>
      <c r="J39" s="11">
        <v>2742</v>
      </c>
      <c r="K39" s="12" t="s">
        <v>474</v>
      </c>
      <c r="L39" s="16">
        <v>45604</v>
      </c>
      <c r="M39" s="12" t="s">
        <v>87</v>
      </c>
      <c r="N39" s="11" t="s">
        <v>41</v>
      </c>
      <c r="O39" s="28">
        <v>37600000</v>
      </c>
      <c r="P39" s="2">
        <v>10</v>
      </c>
      <c r="Q39" s="25">
        <v>3760000</v>
      </c>
      <c r="R39" s="28">
        <v>1880000</v>
      </c>
      <c r="S39" s="28">
        <v>1880000</v>
      </c>
      <c r="T39" s="28">
        <v>0</v>
      </c>
      <c r="U39" s="25">
        <v>0</v>
      </c>
      <c r="V39" s="25">
        <v>94000</v>
      </c>
      <c r="W39" s="18">
        <v>0</v>
      </c>
      <c r="X39" s="13">
        <v>0</v>
      </c>
      <c r="Y39" s="13">
        <f t="shared" si="1"/>
        <v>0</v>
      </c>
      <c r="Z39" s="13"/>
      <c r="AA39" s="31"/>
      <c r="AB39" s="30"/>
    </row>
    <row r="40" spans="2:28">
      <c r="B40" s="11">
        <v>30</v>
      </c>
      <c r="C40" s="1" t="s">
        <v>553</v>
      </c>
      <c r="D40" s="1" t="s">
        <v>554</v>
      </c>
      <c r="E40" s="1" t="s">
        <v>555</v>
      </c>
      <c r="F40" s="29" t="s">
        <v>463</v>
      </c>
      <c r="G40" s="11">
        <v>2024</v>
      </c>
      <c r="H40" s="16">
        <v>45560</v>
      </c>
      <c r="I40" s="16">
        <v>45925</v>
      </c>
      <c r="J40" s="11" t="s">
        <v>464</v>
      </c>
      <c r="K40" s="12" t="s">
        <v>464</v>
      </c>
      <c r="L40" s="16">
        <v>45706</v>
      </c>
      <c r="M40" s="12" t="s">
        <v>87</v>
      </c>
      <c r="N40" s="11" t="s">
        <v>41</v>
      </c>
      <c r="O40" s="25">
        <v>48495000</v>
      </c>
      <c r="P40" s="2">
        <v>10</v>
      </c>
      <c r="Q40" s="25">
        <v>4849500</v>
      </c>
      <c r="R40" s="25">
        <v>1029981.50555516</v>
      </c>
      <c r="S40" s="25">
        <v>955752</v>
      </c>
      <c r="T40" s="25">
        <v>0</v>
      </c>
      <c r="U40" s="25">
        <v>2863766.4944448401</v>
      </c>
      <c r="V40" s="25">
        <v>47788</v>
      </c>
      <c r="W40" s="13">
        <v>0</v>
      </c>
      <c r="X40" s="13">
        <v>0</v>
      </c>
      <c r="Y40" s="13">
        <f t="shared" si="1"/>
        <v>0</v>
      </c>
      <c r="Z40" s="13"/>
      <c r="AA40" s="31"/>
      <c r="AB40" s="30"/>
    </row>
    <row r="41" spans="2:28">
      <c r="B41" s="11">
        <v>31</v>
      </c>
      <c r="C41" s="1" t="s">
        <v>556</v>
      </c>
      <c r="D41" s="1" t="s">
        <v>554</v>
      </c>
      <c r="E41" s="1" t="s">
        <v>555</v>
      </c>
      <c r="F41" s="29" t="s">
        <v>463</v>
      </c>
      <c r="G41" s="11">
        <v>2024</v>
      </c>
      <c r="H41" s="16">
        <v>45560</v>
      </c>
      <c r="I41" s="16">
        <v>45925</v>
      </c>
      <c r="J41" s="11" t="s">
        <v>464</v>
      </c>
      <c r="K41" s="12" t="s">
        <v>464</v>
      </c>
      <c r="L41" s="16">
        <v>45773</v>
      </c>
      <c r="M41" s="12" t="s">
        <v>87</v>
      </c>
      <c r="N41" s="11" t="s">
        <v>41</v>
      </c>
      <c r="O41" s="25">
        <v>48495000</v>
      </c>
      <c r="P41" s="2">
        <v>10</v>
      </c>
      <c r="Q41" s="25">
        <v>4849500</v>
      </c>
      <c r="R41" s="25">
        <v>1029981.50555516</v>
      </c>
      <c r="S41" s="28">
        <v>74231</v>
      </c>
      <c r="T41" s="28">
        <v>0</v>
      </c>
      <c r="U41" s="25">
        <v>3745287.4944448401</v>
      </c>
      <c r="V41" s="25">
        <v>3712</v>
      </c>
      <c r="W41" s="18">
        <v>0</v>
      </c>
      <c r="X41" s="13">
        <v>0</v>
      </c>
      <c r="Y41" s="13">
        <f t="shared" si="1"/>
        <v>0</v>
      </c>
      <c r="Z41" s="13"/>
      <c r="AA41" s="31"/>
      <c r="AB41" s="30"/>
    </row>
    <row r="42" spans="2:28" s="14" customFormat="1">
      <c r="B42" s="11">
        <v>32</v>
      </c>
      <c r="C42" s="1" t="s">
        <v>557</v>
      </c>
      <c r="D42" s="1" t="s">
        <v>554</v>
      </c>
      <c r="E42" s="1" t="s">
        <v>558</v>
      </c>
      <c r="F42" s="29" t="s">
        <v>463</v>
      </c>
      <c r="G42" s="11">
        <v>2024</v>
      </c>
      <c r="H42" s="16">
        <v>45560</v>
      </c>
      <c r="I42" s="16">
        <v>45925</v>
      </c>
      <c r="J42" s="11" t="s">
        <v>464</v>
      </c>
      <c r="K42" s="12" t="s">
        <v>464</v>
      </c>
      <c r="L42" s="16">
        <v>45852</v>
      </c>
      <c r="M42" s="12" t="s">
        <v>87</v>
      </c>
      <c r="N42" s="11" t="s">
        <v>41</v>
      </c>
      <c r="O42" s="25">
        <v>9766500</v>
      </c>
      <c r="P42" s="2">
        <v>10</v>
      </c>
      <c r="Q42" s="25">
        <v>976650</v>
      </c>
      <c r="R42" s="25">
        <v>429715.19700416003</v>
      </c>
      <c r="S42" s="25">
        <v>429715</v>
      </c>
      <c r="T42" s="25">
        <v>0</v>
      </c>
      <c r="U42" s="25">
        <v>117219.80299583997</v>
      </c>
      <c r="V42" s="25">
        <v>21486</v>
      </c>
      <c r="W42" s="13">
        <v>0</v>
      </c>
      <c r="X42" s="13">
        <v>0</v>
      </c>
      <c r="Y42" s="13">
        <f t="shared" si="1"/>
        <v>0</v>
      </c>
      <c r="Z42" s="13"/>
      <c r="AA42" s="31"/>
      <c r="AB42" s="30"/>
    </row>
    <row r="43" spans="2:28">
      <c r="B43" s="11">
        <v>33</v>
      </c>
      <c r="C43" s="1" t="s">
        <v>559</v>
      </c>
      <c r="D43" s="1" t="s">
        <v>560</v>
      </c>
      <c r="E43" s="1" t="s">
        <v>561</v>
      </c>
      <c r="F43" s="29" t="s">
        <v>463</v>
      </c>
      <c r="G43" s="11">
        <v>2024</v>
      </c>
      <c r="H43" s="16">
        <v>45536</v>
      </c>
      <c r="I43" s="16">
        <v>45901</v>
      </c>
      <c r="J43" s="11">
        <v>2902</v>
      </c>
      <c r="K43" s="12" t="s">
        <v>562</v>
      </c>
      <c r="L43" s="16">
        <v>45649</v>
      </c>
      <c r="M43" s="12" t="s">
        <v>87</v>
      </c>
      <c r="N43" s="11" t="s">
        <v>41</v>
      </c>
      <c r="O43" s="25">
        <v>29403140</v>
      </c>
      <c r="P43" s="2">
        <v>5</v>
      </c>
      <c r="Q43" s="25">
        <v>1470157</v>
      </c>
      <c r="R43" s="25">
        <v>735078.5</v>
      </c>
      <c r="S43" s="25">
        <v>735079</v>
      </c>
      <c r="T43" s="25">
        <v>0</v>
      </c>
      <c r="U43" s="25">
        <v>-0.5</v>
      </c>
      <c r="V43" s="25">
        <v>36754</v>
      </c>
      <c r="W43" s="13">
        <v>0</v>
      </c>
      <c r="X43" s="13">
        <v>0</v>
      </c>
      <c r="Y43" s="13">
        <f t="shared" si="1"/>
        <v>0</v>
      </c>
      <c r="Z43" s="13"/>
      <c r="AA43" s="31"/>
      <c r="AB43" s="30"/>
    </row>
    <row r="44" spans="2:28">
      <c r="B44" s="11">
        <v>34</v>
      </c>
      <c r="C44" s="1" t="s">
        <v>563</v>
      </c>
      <c r="D44" s="1" t="s">
        <v>564</v>
      </c>
      <c r="E44" s="1" t="s">
        <v>565</v>
      </c>
      <c r="F44" s="29" t="s">
        <v>463</v>
      </c>
      <c r="G44" s="11">
        <v>2024</v>
      </c>
      <c r="H44" s="16">
        <v>45657</v>
      </c>
      <c r="I44" s="16">
        <v>46022</v>
      </c>
      <c r="J44" s="11">
        <v>2911</v>
      </c>
      <c r="K44" s="12" t="s">
        <v>566</v>
      </c>
      <c r="L44" s="16">
        <v>45691</v>
      </c>
      <c r="M44" s="12" t="s">
        <v>87</v>
      </c>
      <c r="N44" s="11" t="s">
        <v>41</v>
      </c>
      <c r="O44" s="25">
        <v>526979200</v>
      </c>
      <c r="P44" s="2">
        <v>5</v>
      </c>
      <c r="Q44" s="25">
        <v>26348960</v>
      </c>
      <c r="R44" s="25">
        <v>5461611.44002988</v>
      </c>
      <c r="S44" s="25">
        <v>5461611</v>
      </c>
      <c r="T44" s="25">
        <v>0</v>
      </c>
      <c r="U44" s="25">
        <v>15425737.559970118</v>
      </c>
      <c r="V44" s="25">
        <v>273081</v>
      </c>
      <c r="W44" s="13">
        <v>0</v>
      </c>
      <c r="X44" s="13">
        <v>-925000000</v>
      </c>
      <c r="Y44" s="13">
        <f t="shared" si="1"/>
        <v>-46250000</v>
      </c>
      <c r="Z44" s="13"/>
      <c r="AA44" s="31"/>
      <c r="AB44" s="30"/>
    </row>
    <row r="45" spans="2:28">
      <c r="B45" s="11">
        <v>35</v>
      </c>
      <c r="C45" s="1" t="s">
        <v>567</v>
      </c>
      <c r="D45" s="1" t="s">
        <v>568</v>
      </c>
      <c r="E45" s="1" t="s">
        <v>569</v>
      </c>
      <c r="F45" s="29" t="s">
        <v>463</v>
      </c>
      <c r="G45" s="11">
        <v>2024</v>
      </c>
      <c r="H45" s="16">
        <v>45350</v>
      </c>
      <c r="I45" s="16">
        <v>45716</v>
      </c>
      <c r="J45" s="11">
        <v>2975</v>
      </c>
      <c r="K45" s="12" t="s">
        <v>570</v>
      </c>
      <c r="L45" s="16">
        <v>45366</v>
      </c>
      <c r="M45" s="12" t="s">
        <v>87</v>
      </c>
      <c r="N45" s="11" t="s">
        <v>41</v>
      </c>
      <c r="O45" s="25">
        <v>83262200</v>
      </c>
      <c r="P45" s="2">
        <v>12.5</v>
      </c>
      <c r="Q45" s="25">
        <v>10407775</v>
      </c>
      <c r="R45" s="25">
        <v>5203887.5</v>
      </c>
      <c r="S45" s="25">
        <v>5203888</v>
      </c>
      <c r="T45" s="25">
        <v>0</v>
      </c>
      <c r="U45" s="25">
        <v>-0.5</v>
      </c>
      <c r="V45" s="25">
        <v>260194</v>
      </c>
      <c r="W45" s="13">
        <v>0</v>
      </c>
      <c r="X45" s="13">
        <v>0</v>
      </c>
      <c r="Y45" s="13">
        <f t="shared" si="1"/>
        <v>0</v>
      </c>
      <c r="Z45" s="13"/>
      <c r="AA45" s="31"/>
      <c r="AB45" s="30"/>
    </row>
    <row r="46" spans="2:28">
      <c r="B46" s="11">
        <v>36</v>
      </c>
      <c r="C46" s="1" t="s">
        <v>571</v>
      </c>
      <c r="D46" s="1" t="s">
        <v>572</v>
      </c>
      <c r="E46" s="1" t="s">
        <v>573</v>
      </c>
      <c r="F46" s="29" t="s">
        <v>463</v>
      </c>
      <c r="G46" s="11">
        <v>2024</v>
      </c>
      <c r="H46" s="16">
        <v>45350</v>
      </c>
      <c r="I46" s="16">
        <v>45716</v>
      </c>
      <c r="J46" s="11">
        <v>2975</v>
      </c>
      <c r="K46" s="12" t="s">
        <v>352</v>
      </c>
      <c r="L46" s="16">
        <v>45628</v>
      </c>
      <c r="M46" s="12" t="s">
        <v>87</v>
      </c>
      <c r="N46" s="11" t="s">
        <v>41</v>
      </c>
      <c r="O46" s="25">
        <v>40505000</v>
      </c>
      <c r="P46" s="2">
        <v>12.5</v>
      </c>
      <c r="Q46" s="25">
        <v>5063125</v>
      </c>
      <c r="R46" s="25">
        <v>2531562.5</v>
      </c>
      <c r="S46" s="25">
        <v>2531562</v>
      </c>
      <c r="T46" s="25">
        <v>0</v>
      </c>
      <c r="U46" s="25">
        <v>0.5</v>
      </c>
      <c r="V46" s="25">
        <v>126578</v>
      </c>
      <c r="W46" s="13">
        <v>0</v>
      </c>
      <c r="X46" s="13">
        <v>0</v>
      </c>
      <c r="Y46" s="13">
        <f t="shared" si="1"/>
        <v>0</v>
      </c>
      <c r="Z46" s="13"/>
      <c r="AA46" s="31"/>
      <c r="AB46" s="30"/>
    </row>
    <row r="47" spans="2:28">
      <c r="B47" s="11">
        <v>37</v>
      </c>
      <c r="C47" s="1" t="s">
        <v>574</v>
      </c>
      <c r="D47" s="1" t="s">
        <v>575</v>
      </c>
      <c r="E47" s="1" t="s">
        <v>408</v>
      </c>
      <c r="F47" s="29" t="s">
        <v>463</v>
      </c>
      <c r="G47" s="11">
        <v>2024</v>
      </c>
      <c r="H47" s="16">
        <v>45444</v>
      </c>
      <c r="I47" s="16">
        <v>45992</v>
      </c>
      <c r="J47" s="11">
        <v>2972</v>
      </c>
      <c r="K47" s="12" t="s">
        <v>576</v>
      </c>
      <c r="L47" s="16">
        <v>45749</v>
      </c>
      <c r="M47" s="12" t="s">
        <v>87</v>
      </c>
      <c r="N47" s="11" t="s">
        <v>41</v>
      </c>
      <c r="O47" s="25">
        <v>16897520</v>
      </c>
      <c r="P47" s="2">
        <v>10</v>
      </c>
      <c r="Q47" s="25">
        <v>1689752</v>
      </c>
      <c r="R47" s="25">
        <v>844876</v>
      </c>
      <c r="S47" s="25">
        <v>844877</v>
      </c>
      <c r="T47" s="25">
        <v>0</v>
      </c>
      <c r="U47" s="25">
        <v>-1</v>
      </c>
      <c r="V47" s="25">
        <v>42244</v>
      </c>
      <c r="W47" s="13">
        <v>0</v>
      </c>
      <c r="X47" s="13">
        <v>0</v>
      </c>
      <c r="Y47" s="13">
        <f t="shared" si="1"/>
        <v>0</v>
      </c>
      <c r="Z47" s="13"/>
      <c r="AA47" s="31"/>
      <c r="AB47" s="30"/>
    </row>
    <row r="48" spans="2:28">
      <c r="B48" s="11">
        <v>38</v>
      </c>
      <c r="C48" s="1" t="s">
        <v>577</v>
      </c>
      <c r="D48" s="1" t="s">
        <v>578</v>
      </c>
      <c r="E48" s="1" t="s">
        <v>579</v>
      </c>
      <c r="F48" s="29" t="s">
        <v>463</v>
      </c>
      <c r="G48" s="11">
        <v>2024</v>
      </c>
      <c r="H48" s="16">
        <v>45444</v>
      </c>
      <c r="I48" s="16">
        <v>45992</v>
      </c>
      <c r="J48" s="11">
        <v>2971</v>
      </c>
      <c r="K48" s="12" t="s">
        <v>580</v>
      </c>
      <c r="L48" s="16">
        <v>45588</v>
      </c>
      <c r="M48" s="12" t="s">
        <v>87</v>
      </c>
      <c r="N48" s="11" t="s">
        <v>41</v>
      </c>
      <c r="O48" s="25">
        <v>13998625</v>
      </c>
      <c r="P48" s="2">
        <v>10</v>
      </c>
      <c r="Q48" s="25">
        <v>1399862.5</v>
      </c>
      <c r="R48" s="25">
        <v>699931.25</v>
      </c>
      <c r="S48" s="25">
        <v>699932</v>
      </c>
      <c r="T48" s="25">
        <v>0</v>
      </c>
      <c r="U48" s="25">
        <v>-0.75</v>
      </c>
      <c r="V48" s="25">
        <v>34997</v>
      </c>
      <c r="W48" s="13">
        <v>0</v>
      </c>
      <c r="X48" s="13">
        <v>0</v>
      </c>
      <c r="Y48" s="13">
        <f t="shared" si="1"/>
        <v>0</v>
      </c>
      <c r="Z48" s="13"/>
      <c r="AA48" s="31"/>
      <c r="AB48" s="30"/>
    </row>
    <row r="49" spans="2:28">
      <c r="B49" s="11">
        <v>39</v>
      </c>
      <c r="C49" s="1" t="s">
        <v>581</v>
      </c>
      <c r="D49" s="1" t="s">
        <v>582</v>
      </c>
      <c r="E49" s="1" t="s">
        <v>583</v>
      </c>
      <c r="F49" s="29" t="s">
        <v>463</v>
      </c>
      <c r="G49" s="11">
        <v>2024</v>
      </c>
      <c r="H49" s="16">
        <v>45444</v>
      </c>
      <c r="I49" s="16">
        <v>45992</v>
      </c>
      <c r="J49" s="11" t="s">
        <v>99</v>
      </c>
      <c r="K49" s="12" t="s">
        <v>584</v>
      </c>
      <c r="L49" s="16">
        <v>45511</v>
      </c>
      <c r="M49" s="12" t="s">
        <v>87</v>
      </c>
      <c r="N49" s="11" t="s">
        <v>41</v>
      </c>
      <c r="O49" s="25">
        <v>234000000</v>
      </c>
      <c r="P49" s="2">
        <v>10</v>
      </c>
      <c r="Q49" s="25">
        <v>23400000</v>
      </c>
      <c r="R49" s="25">
        <v>11700000</v>
      </c>
      <c r="S49" s="25">
        <v>11700000</v>
      </c>
      <c r="T49" s="25">
        <v>0</v>
      </c>
      <c r="U49" s="25">
        <v>0</v>
      </c>
      <c r="V49" s="25">
        <v>585000</v>
      </c>
      <c r="W49" s="13">
        <v>0</v>
      </c>
      <c r="X49" s="13">
        <v>0</v>
      </c>
      <c r="Y49" s="13">
        <f t="shared" si="1"/>
        <v>0</v>
      </c>
      <c r="Z49" s="13"/>
      <c r="AA49" s="31"/>
      <c r="AB49" s="30"/>
    </row>
    <row r="50" spans="2:28">
      <c r="B50" s="11">
        <v>40</v>
      </c>
      <c r="C50" s="1" t="s">
        <v>585</v>
      </c>
      <c r="D50" s="1" t="s">
        <v>586</v>
      </c>
      <c r="E50" s="1" t="s">
        <v>587</v>
      </c>
      <c r="F50" s="29" t="s">
        <v>463</v>
      </c>
      <c r="G50" s="11">
        <v>2024</v>
      </c>
      <c r="H50" s="16">
        <v>45473</v>
      </c>
      <c r="I50" s="16">
        <v>45992</v>
      </c>
      <c r="J50" s="11">
        <v>2973</v>
      </c>
      <c r="K50" s="12" t="s">
        <v>588</v>
      </c>
      <c r="L50" s="16">
        <v>45724</v>
      </c>
      <c r="M50" s="12" t="s">
        <v>87</v>
      </c>
      <c r="N50" s="11" t="s">
        <v>41</v>
      </c>
      <c r="O50" s="28">
        <v>154994400</v>
      </c>
      <c r="P50" s="2">
        <v>10</v>
      </c>
      <c r="Q50" s="25">
        <v>15499440</v>
      </c>
      <c r="R50" s="28">
        <v>7749720</v>
      </c>
      <c r="S50" s="28">
        <v>7749719</v>
      </c>
      <c r="T50" s="28">
        <v>0</v>
      </c>
      <c r="U50" s="25">
        <v>1</v>
      </c>
      <c r="V50" s="25">
        <v>387486</v>
      </c>
      <c r="W50" s="18">
        <v>0</v>
      </c>
      <c r="X50" s="13">
        <v>154994400</v>
      </c>
      <c r="Y50" s="13">
        <f t="shared" si="1"/>
        <v>7749720</v>
      </c>
      <c r="Z50" s="13"/>
      <c r="AA50" s="31"/>
      <c r="AB50" s="30"/>
    </row>
    <row r="51" spans="2:28">
      <c r="B51" s="11">
        <v>41</v>
      </c>
      <c r="C51" s="1" t="s">
        <v>589</v>
      </c>
      <c r="D51" s="1" t="s">
        <v>590</v>
      </c>
      <c r="E51" s="1" t="s">
        <v>591</v>
      </c>
      <c r="F51" s="29" t="s">
        <v>463</v>
      </c>
      <c r="G51" s="11">
        <v>2024</v>
      </c>
      <c r="H51" s="16">
        <v>45505</v>
      </c>
      <c r="I51" s="16">
        <v>46022</v>
      </c>
      <c r="J51" s="11">
        <v>29313</v>
      </c>
      <c r="K51" s="12" t="s">
        <v>362</v>
      </c>
      <c r="L51" s="16">
        <v>45674</v>
      </c>
      <c r="M51" s="12" t="s">
        <v>87</v>
      </c>
      <c r="N51" s="11" t="s">
        <v>41</v>
      </c>
      <c r="O51" s="25">
        <v>27000000</v>
      </c>
      <c r="P51" s="2">
        <v>11.5</v>
      </c>
      <c r="Q51" s="25">
        <v>3105000</v>
      </c>
      <c r="R51" s="25">
        <v>1552500</v>
      </c>
      <c r="S51" s="25">
        <v>1552500</v>
      </c>
      <c r="T51" s="25">
        <v>0</v>
      </c>
      <c r="U51" s="25">
        <v>0</v>
      </c>
      <c r="V51" s="25">
        <v>77625</v>
      </c>
      <c r="W51" s="13">
        <v>0</v>
      </c>
      <c r="X51" s="13">
        <v>0</v>
      </c>
      <c r="Y51" s="13">
        <f t="shared" si="1"/>
        <v>0</v>
      </c>
      <c r="Z51" s="13"/>
      <c r="AA51" s="31"/>
      <c r="AB51" s="30"/>
    </row>
    <row r="52" spans="2:28">
      <c r="B52" s="11">
        <v>42</v>
      </c>
      <c r="C52" s="1" t="s">
        <v>592</v>
      </c>
      <c r="D52" s="1" t="s">
        <v>593</v>
      </c>
      <c r="E52" s="1" t="s">
        <v>594</v>
      </c>
      <c r="F52" s="29" t="s">
        <v>463</v>
      </c>
      <c r="G52" s="11">
        <v>2024</v>
      </c>
      <c r="H52" s="16">
        <v>45657</v>
      </c>
      <c r="I52" s="16">
        <v>46022</v>
      </c>
      <c r="J52" s="11">
        <v>2742</v>
      </c>
      <c r="K52" s="12" t="s">
        <v>595</v>
      </c>
      <c r="L52" s="16">
        <v>45705</v>
      </c>
      <c r="M52" s="12" t="s">
        <v>87</v>
      </c>
      <c r="N52" s="11" t="s">
        <v>41</v>
      </c>
      <c r="O52" s="28">
        <v>15000000</v>
      </c>
      <c r="P52" s="2">
        <v>3</v>
      </c>
      <c r="Q52" s="25">
        <v>450000</v>
      </c>
      <c r="R52" s="28">
        <v>225000</v>
      </c>
      <c r="S52" s="28">
        <v>225000</v>
      </c>
      <c r="T52" s="28">
        <v>0</v>
      </c>
      <c r="U52" s="25">
        <v>0</v>
      </c>
      <c r="V52" s="25">
        <v>11250</v>
      </c>
      <c r="W52" s="18">
        <v>0</v>
      </c>
      <c r="X52" s="13">
        <v>0</v>
      </c>
      <c r="Y52" s="13">
        <f t="shared" si="1"/>
        <v>0</v>
      </c>
      <c r="Z52" s="13"/>
      <c r="AA52" s="31"/>
      <c r="AB52" s="30"/>
    </row>
    <row r="53" spans="2:28">
      <c r="B53" s="11">
        <v>43</v>
      </c>
      <c r="C53" s="1" t="s">
        <v>596</v>
      </c>
      <c r="D53" s="1" t="s">
        <v>597</v>
      </c>
      <c r="E53" s="1" t="s">
        <v>598</v>
      </c>
      <c r="F53" s="29" t="s">
        <v>463</v>
      </c>
      <c r="G53" s="11">
        <v>2024</v>
      </c>
      <c r="H53" s="16">
        <v>45657</v>
      </c>
      <c r="I53" s="16">
        <v>46022</v>
      </c>
      <c r="J53" s="11" t="s">
        <v>99</v>
      </c>
      <c r="K53" s="12" t="s">
        <v>599</v>
      </c>
      <c r="L53" s="16">
        <v>45675</v>
      </c>
      <c r="M53" s="12" t="s">
        <v>87</v>
      </c>
      <c r="N53" s="11" t="s">
        <v>41</v>
      </c>
      <c r="O53" s="28">
        <v>25718000</v>
      </c>
      <c r="P53" s="2">
        <v>10</v>
      </c>
      <c r="Q53" s="25">
        <v>2571800</v>
      </c>
      <c r="R53" s="28">
        <v>1285900</v>
      </c>
      <c r="S53" s="28">
        <v>1285900</v>
      </c>
      <c r="T53" s="28">
        <v>0</v>
      </c>
      <c r="U53" s="25">
        <v>0</v>
      </c>
      <c r="V53" s="25">
        <v>64295</v>
      </c>
      <c r="W53" s="18">
        <v>0</v>
      </c>
      <c r="X53" s="13">
        <v>60000000</v>
      </c>
      <c r="Y53" s="13">
        <f t="shared" si="1"/>
        <v>3000000</v>
      </c>
      <c r="Z53" s="13"/>
      <c r="AA53" s="31"/>
      <c r="AB53" s="30"/>
    </row>
    <row r="54" spans="2:28">
      <c r="B54" s="11">
        <v>44</v>
      </c>
      <c r="C54" s="12" t="s">
        <v>600</v>
      </c>
      <c r="D54" s="12" t="s">
        <v>601</v>
      </c>
      <c r="E54" s="12" t="s">
        <v>602</v>
      </c>
      <c r="F54" s="29" t="s">
        <v>463</v>
      </c>
      <c r="G54" s="11">
        <v>2024</v>
      </c>
      <c r="H54" s="16">
        <v>45657</v>
      </c>
      <c r="I54" s="16">
        <v>46022</v>
      </c>
      <c r="J54" s="11">
        <v>2975</v>
      </c>
      <c r="K54" s="12" t="s">
        <v>576</v>
      </c>
      <c r="L54" s="16">
        <v>45664</v>
      </c>
      <c r="M54" s="12" t="s">
        <v>87</v>
      </c>
      <c r="N54" s="11" t="s">
        <v>41</v>
      </c>
      <c r="O54" s="25">
        <v>50000000</v>
      </c>
      <c r="P54" s="2">
        <v>10</v>
      </c>
      <c r="Q54" s="25">
        <v>5000000</v>
      </c>
      <c r="R54" s="28">
        <v>2500000</v>
      </c>
      <c r="S54" s="25">
        <v>2500000</v>
      </c>
      <c r="T54" s="25">
        <v>0</v>
      </c>
      <c r="U54" s="25">
        <v>0</v>
      </c>
      <c r="V54" s="25">
        <v>125000</v>
      </c>
      <c r="W54" s="13">
        <v>0</v>
      </c>
      <c r="X54" s="13">
        <v>0</v>
      </c>
      <c r="Y54" s="13">
        <f t="shared" si="1"/>
        <v>0</v>
      </c>
      <c r="Z54" s="13"/>
      <c r="AA54" s="31"/>
      <c r="AB54" s="30"/>
    </row>
    <row r="55" spans="2:28">
      <c r="B55" s="11">
        <v>45</v>
      </c>
      <c r="C55" s="1" t="s">
        <v>603</v>
      </c>
      <c r="D55" s="1" t="s">
        <v>604</v>
      </c>
      <c r="E55" s="1" t="s">
        <v>605</v>
      </c>
      <c r="F55" s="29" t="s">
        <v>463</v>
      </c>
      <c r="G55" s="11">
        <v>2024</v>
      </c>
      <c r="H55" s="16">
        <v>45657</v>
      </c>
      <c r="I55" s="16">
        <v>46022</v>
      </c>
      <c r="J55" s="11">
        <v>2975</v>
      </c>
      <c r="K55" s="12" t="s">
        <v>606</v>
      </c>
      <c r="L55" s="16">
        <v>45687</v>
      </c>
      <c r="M55" s="12" t="s">
        <v>87</v>
      </c>
      <c r="N55" s="11" t="s">
        <v>41</v>
      </c>
      <c r="O55" s="28">
        <v>69971948</v>
      </c>
      <c r="P55" s="2">
        <v>10</v>
      </c>
      <c r="Q55" s="25">
        <v>6997194.7999999998</v>
      </c>
      <c r="R55" s="28">
        <v>3498597.4</v>
      </c>
      <c r="S55" s="28">
        <v>3498598</v>
      </c>
      <c r="T55" s="28">
        <v>0</v>
      </c>
      <c r="U55" s="25">
        <v>-0.60000000009313226</v>
      </c>
      <c r="V55" s="25">
        <v>174930</v>
      </c>
      <c r="W55" s="18">
        <v>0</v>
      </c>
      <c r="X55" s="13">
        <v>0</v>
      </c>
      <c r="Y55" s="13">
        <f t="shared" si="1"/>
        <v>0</v>
      </c>
      <c r="Z55" s="13"/>
      <c r="AA55" s="31"/>
      <c r="AB55" s="30"/>
    </row>
    <row r="56" spans="2:28">
      <c r="B56" s="11">
        <v>46</v>
      </c>
      <c r="C56" s="1" t="s">
        <v>607</v>
      </c>
      <c r="D56" s="1" t="s">
        <v>608</v>
      </c>
      <c r="E56" s="1" t="s">
        <v>609</v>
      </c>
      <c r="F56" s="29" t="s">
        <v>463</v>
      </c>
      <c r="G56" s="11">
        <v>2024</v>
      </c>
      <c r="H56" s="16">
        <v>45327</v>
      </c>
      <c r="I56" s="16">
        <v>45693</v>
      </c>
      <c r="J56" s="11" t="s">
        <v>464</v>
      </c>
      <c r="K56" s="12" t="s">
        <v>464</v>
      </c>
      <c r="L56" s="16">
        <v>45641</v>
      </c>
      <c r="M56" s="12" t="s">
        <v>87</v>
      </c>
      <c r="N56" s="11" t="s">
        <v>41</v>
      </c>
      <c r="O56" s="28">
        <v>423644652.99999994</v>
      </c>
      <c r="P56" s="2">
        <v>20</v>
      </c>
      <c r="Q56" s="25">
        <v>84728930.599999994</v>
      </c>
      <c r="R56" s="28">
        <v>42364465.299999997</v>
      </c>
      <c r="S56" s="28">
        <v>42364464</v>
      </c>
      <c r="T56" s="28">
        <v>0</v>
      </c>
      <c r="U56" s="25">
        <v>1.2999999970197678</v>
      </c>
      <c r="V56" s="25">
        <v>2118223</v>
      </c>
      <c r="W56" s="18">
        <v>0</v>
      </c>
      <c r="X56" s="13">
        <v>0</v>
      </c>
      <c r="Y56" s="13">
        <f t="shared" si="1"/>
        <v>0</v>
      </c>
      <c r="Z56" s="13"/>
      <c r="AA56" s="31"/>
      <c r="AB56" s="30"/>
    </row>
    <row r="57" spans="2:28">
      <c r="B57" s="11">
        <v>47</v>
      </c>
      <c r="C57" s="1" t="s">
        <v>610</v>
      </c>
      <c r="D57" s="1" t="s">
        <v>611</v>
      </c>
      <c r="E57" s="1" t="s">
        <v>612</v>
      </c>
      <c r="F57" s="29" t="s">
        <v>463</v>
      </c>
      <c r="G57" s="11">
        <v>2024</v>
      </c>
      <c r="H57" s="16">
        <v>45337</v>
      </c>
      <c r="I57" s="16">
        <v>45703</v>
      </c>
      <c r="J57" s="11" t="s">
        <v>464</v>
      </c>
      <c r="K57" s="12" t="s">
        <v>464</v>
      </c>
      <c r="L57" s="16">
        <v>45490</v>
      </c>
      <c r="M57" s="12" t="s">
        <v>87</v>
      </c>
      <c r="N57" s="11" t="s">
        <v>41</v>
      </c>
      <c r="O57" s="28">
        <v>394430352</v>
      </c>
      <c r="P57" s="2">
        <v>12.5</v>
      </c>
      <c r="Q57" s="25">
        <v>49303794</v>
      </c>
      <c r="R57" s="28">
        <v>24651897.000000101</v>
      </c>
      <c r="S57" s="28">
        <v>24651897</v>
      </c>
      <c r="T57" s="28">
        <v>0</v>
      </c>
      <c r="U57" s="25">
        <v>-1.0058283805847168E-7</v>
      </c>
      <c r="V57" s="25">
        <v>1232595</v>
      </c>
      <c r="W57" s="18">
        <v>0</v>
      </c>
      <c r="X57" s="13">
        <v>14812704000</v>
      </c>
      <c r="Y57" s="13">
        <f t="shared" si="1"/>
        <v>740635200</v>
      </c>
      <c r="Z57" s="13"/>
      <c r="AA57" s="31"/>
      <c r="AB57" s="30"/>
    </row>
    <row r="58" spans="2:28">
      <c r="B58" s="11">
        <v>48</v>
      </c>
      <c r="C58" s="1" t="s">
        <v>613</v>
      </c>
      <c r="D58" s="1" t="s">
        <v>614</v>
      </c>
      <c r="E58" s="1" t="s">
        <v>615</v>
      </c>
      <c r="F58" s="29" t="s">
        <v>463</v>
      </c>
      <c r="G58" s="11">
        <v>2024</v>
      </c>
      <c r="H58" s="16">
        <v>45398</v>
      </c>
      <c r="I58" s="16">
        <v>45763</v>
      </c>
      <c r="J58" s="11" t="s">
        <v>464</v>
      </c>
      <c r="K58" s="12" t="s">
        <v>464</v>
      </c>
      <c r="L58" s="16">
        <v>45580</v>
      </c>
      <c r="M58" s="12" t="s">
        <v>87</v>
      </c>
      <c r="N58" s="11" t="s">
        <v>41</v>
      </c>
      <c r="O58" s="28">
        <v>297144152.09999996</v>
      </c>
      <c r="P58" s="2">
        <v>20</v>
      </c>
      <c r="Q58" s="25">
        <v>59428830.420000002</v>
      </c>
      <c r="R58" s="28">
        <v>29714415.210000001</v>
      </c>
      <c r="S58" s="28">
        <v>29714415</v>
      </c>
      <c r="T58" s="28">
        <v>0</v>
      </c>
      <c r="U58" s="25">
        <v>0.21000000089406967</v>
      </c>
      <c r="V58" s="25">
        <v>1485721</v>
      </c>
      <c r="W58" s="18">
        <v>0</v>
      </c>
      <c r="X58" s="13">
        <v>297144152.10000002</v>
      </c>
      <c r="Y58" s="13">
        <f t="shared" si="1"/>
        <v>14857207.605000002</v>
      </c>
      <c r="Z58" s="13"/>
      <c r="AA58" s="31"/>
      <c r="AB58" s="30"/>
    </row>
    <row r="59" spans="2:28">
      <c r="B59" s="11">
        <v>49</v>
      </c>
      <c r="C59" s="1" t="s">
        <v>616</v>
      </c>
      <c r="D59" s="1" t="s">
        <v>617</v>
      </c>
      <c r="E59" s="1" t="s">
        <v>618</v>
      </c>
      <c r="F59" s="29" t="s">
        <v>463</v>
      </c>
      <c r="G59" s="11">
        <v>2024</v>
      </c>
      <c r="H59" s="16">
        <v>45551</v>
      </c>
      <c r="I59" s="16">
        <v>45916</v>
      </c>
      <c r="J59" s="11" t="s">
        <v>464</v>
      </c>
      <c r="K59" s="12" t="s">
        <v>464</v>
      </c>
      <c r="L59" s="16">
        <v>45695</v>
      </c>
      <c r="M59" s="12" t="s">
        <v>87</v>
      </c>
      <c r="N59" s="11" t="s">
        <v>41</v>
      </c>
      <c r="O59" s="28">
        <v>22289785</v>
      </c>
      <c r="P59" s="2">
        <v>20</v>
      </c>
      <c r="Q59" s="25">
        <v>4457957</v>
      </c>
      <c r="R59" s="28">
        <v>2228978.5</v>
      </c>
      <c r="S59" s="28">
        <v>2228979</v>
      </c>
      <c r="T59" s="28">
        <v>0</v>
      </c>
      <c r="U59" s="25">
        <v>-0.5</v>
      </c>
      <c r="V59" s="25">
        <v>111449</v>
      </c>
      <c r="W59" s="18">
        <v>0</v>
      </c>
      <c r="X59" s="13">
        <v>0</v>
      </c>
      <c r="Y59" s="13">
        <f t="shared" si="1"/>
        <v>0</v>
      </c>
      <c r="Z59" s="13"/>
      <c r="AA59" s="31"/>
      <c r="AB59" s="30"/>
    </row>
    <row r="60" spans="2:28">
      <c r="B60" s="11">
        <v>50</v>
      </c>
      <c r="C60" s="1" t="s">
        <v>619</v>
      </c>
      <c r="D60" s="1" t="s">
        <v>617</v>
      </c>
      <c r="E60" s="1" t="s">
        <v>618</v>
      </c>
      <c r="F60" s="29" t="s">
        <v>463</v>
      </c>
      <c r="G60" s="11">
        <v>2024</v>
      </c>
      <c r="H60" s="16">
        <v>45551</v>
      </c>
      <c r="I60" s="16">
        <v>45916</v>
      </c>
      <c r="J60" s="11" t="s">
        <v>464</v>
      </c>
      <c r="K60" s="12" t="s">
        <v>464</v>
      </c>
      <c r="L60" s="16">
        <v>45763</v>
      </c>
      <c r="M60" s="12" t="s">
        <v>87</v>
      </c>
      <c r="N60" s="11" t="s">
        <v>41</v>
      </c>
      <c r="O60" s="28">
        <v>19984708</v>
      </c>
      <c r="P60" s="2">
        <v>20</v>
      </c>
      <c r="Q60" s="25">
        <v>3996941.6</v>
      </c>
      <c r="R60" s="28">
        <v>1998470.8</v>
      </c>
      <c r="S60" s="28">
        <v>1998470</v>
      </c>
      <c r="T60" s="28">
        <v>0</v>
      </c>
      <c r="U60" s="25">
        <v>0.80000000004656613</v>
      </c>
      <c r="V60" s="25">
        <v>99924</v>
      </c>
      <c r="W60" s="18">
        <v>0</v>
      </c>
      <c r="X60" s="13">
        <v>150000000</v>
      </c>
      <c r="Y60" s="13">
        <f t="shared" si="1"/>
        <v>7500000</v>
      </c>
      <c r="Z60" s="13"/>
      <c r="AA60" s="31"/>
      <c r="AB60" s="30"/>
    </row>
    <row r="61" spans="2:28">
      <c r="B61" s="11">
        <v>51</v>
      </c>
      <c r="C61" s="1" t="s">
        <v>465</v>
      </c>
      <c r="D61" s="1" t="s">
        <v>466</v>
      </c>
      <c r="E61" s="1" t="s">
        <v>467</v>
      </c>
      <c r="F61" s="29" t="s">
        <v>463</v>
      </c>
      <c r="G61" s="11">
        <v>2023</v>
      </c>
      <c r="H61" s="16">
        <v>45268</v>
      </c>
      <c r="I61" s="16">
        <v>45657</v>
      </c>
      <c r="J61" s="11" t="s">
        <v>464</v>
      </c>
      <c r="K61" s="12" t="s">
        <v>464</v>
      </c>
      <c r="L61" s="16">
        <v>45626</v>
      </c>
      <c r="M61" s="12" t="s">
        <v>87</v>
      </c>
      <c r="N61" s="11" t="s">
        <v>41</v>
      </c>
      <c r="O61" s="28">
        <v>5225025402</v>
      </c>
      <c r="P61" s="2">
        <v>15</v>
      </c>
      <c r="Q61" s="25">
        <v>783753810.29999995</v>
      </c>
      <c r="R61" s="28">
        <v>149991751.441089</v>
      </c>
      <c r="S61" s="28">
        <v>0</v>
      </c>
      <c r="T61" s="28">
        <v>483770307</v>
      </c>
      <c r="U61" s="25">
        <v>149991751.85891092</v>
      </c>
      <c r="V61" s="25">
        <v>0</v>
      </c>
      <c r="W61" s="18">
        <v>96754061</v>
      </c>
      <c r="X61" s="13">
        <v>6200000000</v>
      </c>
      <c r="Y61" s="13">
        <f t="shared" ref="Y61:Y64" si="2">X61*20%</f>
        <v>1240000000</v>
      </c>
      <c r="Z61" s="13"/>
      <c r="AA61" s="31"/>
      <c r="AB61" s="30"/>
    </row>
    <row r="62" spans="2:28">
      <c r="B62" s="11">
        <v>52</v>
      </c>
      <c r="C62" s="1" t="s">
        <v>468</v>
      </c>
      <c r="D62" s="1" t="s">
        <v>469</v>
      </c>
      <c r="E62" s="1" t="s">
        <v>470</v>
      </c>
      <c r="F62" s="29" t="s">
        <v>463</v>
      </c>
      <c r="G62" s="11">
        <v>2023</v>
      </c>
      <c r="H62" s="16">
        <v>45288</v>
      </c>
      <c r="I62" s="16">
        <v>45647</v>
      </c>
      <c r="J62" s="11" t="s">
        <v>464</v>
      </c>
      <c r="K62" s="12" t="s">
        <v>464</v>
      </c>
      <c r="L62" s="16">
        <v>45641</v>
      </c>
      <c r="M62" s="12" t="s">
        <v>87</v>
      </c>
      <c r="N62" s="11" t="s">
        <v>41</v>
      </c>
      <c r="O62" s="28">
        <v>501163855.80300003</v>
      </c>
      <c r="P62" s="2">
        <v>20</v>
      </c>
      <c r="Q62" s="25">
        <v>100232771.16060001</v>
      </c>
      <c r="R62" s="28">
        <v>19575790.883443799</v>
      </c>
      <c r="S62" s="28">
        <v>0</v>
      </c>
      <c r="T62" s="28">
        <v>61081190</v>
      </c>
      <c r="U62" s="25">
        <v>19575790.277156204</v>
      </c>
      <c r="V62" s="25">
        <v>0</v>
      </c>
      <c r="W62" s="18">
        <v>12216238</v>
      </c>
      <c r="X62" s="13">
        <v>522000000</v>
      </c>
      <c r="Y62" s="13">
        <f t="shared" si="2"/>
        <v>104400000</v>
      </c>
      <c r="Z62" s="13"/>
      <c r="AA62" s="31"/>
      <c r="AB62" s="30"/>
    </row>
    <row r="63" spans="2:28">
      <c r="B63" s="11">
        <v>53</v>
      </c>
      <c r="C63" s="1" t="s">
        <v>475</v>
      </c>
      <c r="D63" s="1" t="s">
        <v>476</v>
      </c>
      <c r="E63" s="1" t="s">
        <v>477</v>
      </c>
      <c r="F63" s="29" t="s">
        <v>463</v>
      </c>
      <c r="G63" s="11">
        <v>2023</v>
      </c>
      <c r="H63" s="16">
        <v>45222</v>
      </c>
      <c r="I63" s="16">
        <v>45656</v>
      </c>
      <c r="J63" s="11" t="s">
        <v>464</v>
      </c>
      <c r="K63" s="12" t="s">
        <v>464</v>
      </c>
      <c r="L63" s="16">
        <v>45606</v>
      </c>
      <c r="M63" s="12" t="s">
        <v>87</v>
      </c>
      <c r="N63" s="11" t="s">
        <v>41</v>
      </c>
      <c r="O63" s="28">
        <v>850000000</v>
      </c>
      <c r="P63" s="2">
        <v>10</v>
      </c>
      <c r="Q63" s="25">
        <v>85000000</v>
      </c>
      <c r="R63" s="28">
        <v>9194486.3247692995</v>
      </c>
      <c r="S63" s="28">
        <v>0</v>
      </c>
      <c r="T63" s="28">
        <v>66611028</v>
      </c>
      <c r="U63" s="25">
        <v>9194485.6752306968</v>
      </c>
      <c r="V63" s="25">
        <v>0</v>
      </c>
      <c r="W63" s="18">
        <v>13322205</v>
      </c>
      <c r="X63" s="13">
        <v>850000000</v>
      </c>
      <c r="Y63" s="13">
        <f t="shared" si="2"/>
        <v>170000000</v>
      </c>
      <c r="Z63" s="13"/>
      <c r="AA63" s="31"/>
      <c r="AB63" s="30"/>
    </row>
    <row r="64" spans="2:28">
      <c r="B64" s="11">
        <v>54</v>
      </c>
      <c r="C64" s="1" t="s">
        <v>487</v>
      </c>
      <c r="D64" s="1" t="s">
        <v>488</v>
      </c>
      <c r="E64" s="1" t="s">
        <v>489</v>
      </c>
      <c r="F64" s="29" t="s">
        <v>463</v>
      </c>
      <c r="G64" s="11">
        <v>2023</v>
      </c>
      <c r="H64" s="16">
        <v>45046</v>
      </c>
      <c r="I64" s="16">
        <v>45412</v>
      </c>
      <c r="J64" s="11" t="s">
        <v>464</v>
      </c>
      <c r="K64" s="12" t="s">
        <v>464</v>
      </c>
      <c r="L64" s="16">
        <v>45241</v>
      </c>
      <c r="M64" s="12" t="s">
        <v>269</v>
      </c>
      <c r="N64" s="11" t="s">
        <v>41</v>
      </c>
      <c r="O64" s="28">
        <v>24175830.524999999</v>
      </c>
      <c r="P64" s="2">
        <v>100</v>
      </c>
      <c r="Q64" s="25">
        <v>24175830.524999999</v>
      </c>
      <c r="R64" s="28">
        <v>7326009.25</v>
      </c>
      <c r="S64" s="28">
        <v>0</v>
      </c>
      <c r="T64" s="28">
        <v>9523811</v>
      </c>
      <c r="U64" s="25">
        <v>7326010.2749999985</v>
      </c>
      <c r="V64" s="25">
        <v>0</v>
      </c>
      <c r="W64" s="18">
        <v>1904762</v>
      </c>
      <c r="X64" s="13">
        <v>0</v>
      </c>
      <c r="Y64" s="13">
        <f t="shared" si="2"/>
        <v>0</v>
      </c>
      <c r="Z64" s="13"/>
      <c r="AA64" s="31"/>
      <c r="AB64" s="30"/>
    </row>
    <row r="65" spans="2:28">
      <c r="B65" s="11">
        <v>55</v>
      </c>
      <c r="C65" s="1" t="s">
        <v>553</v>
      </c>
      <c r="D65" s="1" t="s">
        <v>554</v>
      </c>
      <c r="E65" s="1" t="s">
        <v>555</v>
      </c>
      <c r="F65" s="29" t="s">
        <v>463</v>
      </c>
      <c r="G65" s="11">
        <v>2024</v>
      </c>
      <c r="H65" s="16">
        <v>45560</v>
      </c>
      <c r="I65" s="16">
        <v>45925</v>
      </c>
      <c r="J65" s="11" t="s">
        <v>464</v>
      </c>
      <c r="K65" s="12" t="s">
        <v>464</v>
      </c>
      <c r="L65" s="16">
        <v>45706</v>
      </c>
      <c r="M65" s="12" t="s">
        <v>87</v>
      </c>
      <c r="N65" s="11" t="s">
        <v>41</v>
      </c>
      <c r="O65" s="28">
        <v>48495000</v>
      </c>
      <c r="P65" s="2">
        <v>10</v>
      </c>
      <c r="Q65" s="25">
        <v>4849500</v>
      </c>
      <c r="R65" s="28">
        <v>1029981.50555516</v>
      </c>
      <c r="S65" s="28">
        <v>0</v>
      </c>
      <c r="T65" s="28">
        <v>2588497</v>
      </c>
      <c r="U65" s="25">
        <v>1231021.4944448401</v>
      </c>
      <c r="V65" s="25">
        <v>0</v>
      </c>
      <c r="W65" s="18">
        <v>129425</v>
      </c>
      <c r="X65" s="13">
        <v>0</v>
      </c>
      <c r="Y65" s="13">
        <f t="shared" ref="Y65:Y68" si="3">X65*5%</f>
        <v>0</v>
      </c>
      <c r="Z65" s="13"/>
      <c r="AA65" s="31"/>
      <c r="AB65" s="30"/>
    </row>
    <row r="66" spans="2:28">
      <c r="B66" s="11">
        <v>56</v>
      </c>
      <c r="C66" s="1" t="s">
        <v>556</v>
      </c>
      <c r="D66" s="1" t="s">
        <v>554</v>
      </c>
      <c r="E66" s="1" t="s">
        <v>555</v>
      </c>
      <c r="F66" s="29" t="s">
        <v>463</v>
      </c>
      <c r="G66" s="11">
        <v>2024</v>
      </c>
      <c r="H66" s="16">
        <v>45560</v>
      </c>
      <c r="I66" s="16">
        <v>45925</v>
      </c>
      <c r="J66" s="11" t="s">
        <v>464</v>
      </c>
      <c r="K66" s="12" t="s">
        <v>464</v>
      </c>
      <c r="L66" s="16">
        <v>45773</v>
      </c>
      <c r="M66" s="12" t="s">
        <v>87</v>
      </c>
      <c r="N66" s="11" t="s">
        <v>41</v>
      </c>
      <c r="O66" s="28">
        <v>48495000</v>
      </c>
      <c r="P66" s="2">
        <v>10</v>
      </c>
      <c r="Q66" s="25">
        <v>4849500</v>
      </c>
      <c r="R66" s="28">
        <v>1029981.50555516</v>
      </c>
      <c r="S66" s="28">
        <v>0</v>
      </c>
      <c r="T66" s="28">
        <v>201040</v>
      </c>
      <c r="U66" s="25">
        <v>3618478.4944448401</v>
      </c>
      <c r="V66" s="25">
        <v>0</v>
      </c>
      <c r="W66" s="18">
        <v>10052</v>
      </c>
      <c r="X66" s="13">
        <v>0</v>
      </c>
      <c r="Y66" s="13">
        <f t="shared" si="3"/>
        <v>0</v>
      </c>
      <c r="Z66" s="13"/>
      <c r="AA66" s="31"/>
      <c r="AB66" s="30"/>
    </row>
    <row r="67" spans="2:28">
      <c r="B67" s="11">
        <v>57</v>
      </c>
      <c r="C67" s="1" t="s">
        <v>557</v>
      </c>
      <c r="D67" s="1" t="s">
        <v>554</v>
      </c>
      <c r="E67" s="1" t="s">
        <v>558</v>
      </c>
      <c r="F67" s="29" t="s">
        <v>463</v>
      </c>
      <c r="G67" s="11">
        <v>2024</v>
      </c>
      <c r="H67" s="16">
        <v>45560</v>
      </c>
      <c r="I67" s="16">
        <v>45925</v>
      </c>
      <c r="J67" s="11" t="s">
        <v>464</v>
      </c>
      <c r="K67" s="12" t="s">
        <v>464</v>
      </c>
      <c r="L67" s="16">
        <v>45852</v>
      </c>
      <c r="M67" s="12" t="s">
        <v>87</v>
      </c>
      <c r="N67" s="11" t="s">
        <v>41</v>
      </c>
      <c r="O67" s="28">
        <v>9766500</v>
      </c>
      <c r="P67" s="2">
        <v>10</v>
      </c>
      <c r="Q67" s="25">
        <v>976650</v>
      </c>
      <c r="R67" s="28">
        <v>429715.19700416003</v>
      </c>
      <c r="S67" s="28">
        <v>0</v>
      </c>
      <c r="T67" s="28">
        <v>117219</v>
      </c>
      <c r="U67" s="25">
        <v>429715.80299583997</v>
      </c>
      <c r="V67" s="25">
        <v>0</v>
      </c>
      <c r="W67" s="18">
        <v>5861</v>
      </c>
      <c r="X67" s="13">
        <v>0</v>
      </c>
      <c r="Y67" s="13">
        <f t="shared" si="3"/>
        <v>0</v>
      </c>
      <c r="Z67" s="13"/>
      <c r="AA67" s="31"/>
      <c r="AB67" s="30"/>
    </row>
    <row r="68" spans="2:28">
      <c r="B68" s="11">
        <v>58</v>
      </c>
      <c r="C68" s="1" t="s">
        <v>563</v>
      </c>
      <c r="D68" s="1" t="s">
        <v>564</v>
      </c>
      <c r="E68" s="1" t="s">
        <v>565</v>
      </c>
      <c r="F68" s="29" t="s">
        <v>463</v>
      </c>
      <c r="G68" s="11">
        <v>2024</v>
      </c>
      <c r="H68" s="16">
        <v>45657</v>
      </c>
      <c r="I68" s="16">
        <v>46022</v>
      </c>
      <c r="J68" s="11">
        <v>2911</v>
      </c>
      <c r="K68" s="12" t="s">
        <v>566</v>
      </c>
      <c r="L68" s="16">
        <v>45691</v>
      </c>
      <c r="M68" s="12" t="s">
        <v>87</v>
      </c>
      <c r="N68" s="11" t="s">
        <v>41</v>
      </c>
      <c r="O68" s="28">
        <v>526979200</v>
      </c>
      <c r="P68" s="2">
        <v>5</v>
      </c>
      <c r="Q68" s="25">
        <v>26348960</v>
      </c>
      <c r="R68" s="28">
        <v>5461611.44002988</v>
      </c>
      <c r="S68" s="28">
        <v>0</v>
      </c>
      <c r="T68" s="28">
        <v>15425738</v>
      </c>
      <c r="U68" s="25">
        <v>5461610.5599701181</v>
      </c>
      <c r="V68" s="25">
        <v>0</v>
      </c>
      <c r="W68" s="18">
        <v>771287</v>
      </c>
      <c r="X68" s="13">
        <v>-925000000</v>
      </c>
      <c r="Y68" s="13">
        <f t="shared" si="3"/>
        <v>-46250000</v>
      </c>
      <c r="Z68" s="13"/>
      <c r="AA68" s="31"/>
      <c r="AB68" s="30"/>
    </row>
    <row r="69" spans="2:28">
      <c r="F69"/>
    </row>
    <row r="70" spans="2:28">
      <c r="F70"/>
      <c r="V70" s="17">
        <f>SUBTOTAL(9,V11:V68)</f>
        <v>74308369</v>
      </c>
      <c r="W70" s="17">
        <f>SUBTOTAL(9,W11:W68)</f>
        <v>916625</v>
      </c>
      <c r="X70" s="19"/>
    </row>
    <row r="71" spans="2:28">
      <c r="F71"/>
      <c r="W71" s="19"/>
    </row>
    <row r="72" spans="2:28">
      <c r="F72"/>
    </row>
    <row r="73" spans="2:28">
      <c r="F73"/>
    </row>
    <row r="74" spans="2:28">
      <c r="F74"/>
      <c r="G74"/>
    </row>
    <row r="75" spans="2:28">
      <c r="F75"/>
      <c r="G75"/>
    </row>
    <row r="76" spans="2:28">
      <c r="F76"/>
      <c r="G76"/>
    </row>
    <row r="77" spans="2:28">
      <c r="F77"/>
      <c r="G77"/>
    </row>
    <row r="78" spans="2:28">
      <c r="F78"/>
      <c r="G78"/>
    </row>
    <row r="79" spans="2:28">
      <c r="F79"/>
      <c r="G79"/>
    </row>
    <row r="80" spans="2:28">
      <c r="F80"/>
      <c r="G80"/>
      <c r="L80"/>
      <c r="N80"/>
    </row>
    <row r="81" spans="6:14">
      <c r="F81"/>
      <c r="G81"/>
      <c r="L81"/>
      <c r="N81"/>
    </row>
    <row r="82" spans="6:14">
      <c r="F82"/>
      <c r="G82"/>
      <c r="L82"/>
      <c r="N82"/>
    </row>
    <row r="83" spans="6:14">
      <c r="F83"/>
      <c r="G83"/>
      <c r="L83"/>
      <c r="N83"/>
    </row>
    <row r="84" spans="6:14">
      <c r="F84"/>
      <c r="G84"/>
      <c r="L84"/>
      <c r="N84"/>
    </row>
    <row r="85" spans="6:14">
      <c r="F85"/>
      <c r="G85"/>
      <c r="L85"/>
      <c r="N85"/>
    </row>
    <row r="86" spans="6:14">
      <c r="F86"/>
      <c r="G86"/>
      <c r="L86"/>
      <c r="N86"/>
    </row>
    <row r="87" spans="6:14">
      <c r="F87"/>
      <c r="G87"/>
    </row>
    <row r="88" spans="6:14">
      <c r="F88"/>
      <c r="G88"/>
    </row>
    <row r="89" spans="6:14">
      <c r="F89"/>
      <c r="G89"/>
    </row>
    <row r="90" spans="6:14">
      <c r="F90"/>
      <c r="G90"/>
    </row>
    <row r="91" spans="6:14">
      <c r="F91"/>
      <c r="G91"/>
    </row>
    <row r="92" spans="6:14">
      <c r="F92"/>
      <c r="G92"/>
    </row>
    <row r="93" spans="6:14">
      <c r="F93"/>
      <c r="G93"/>
    </row>
    <row r="94" spans="6:14">
      <c r="F94"/>
      <c r="G94"/>
    </row>
    <row r="95" spans="6:14">
      <c r="F95"/>
      <c r="G95"/>
    </row>
    <row r="96" spans="6:14">
      <c r="F96"/>
      <c r="G96"/>
    </row>
    <row r="97" spans="6:7">
      <c r="F97"/>
      <c r="G97"/>
    </row>
    <row r="98" spans="6:7">
      <c r="F98"/>
      <c r="G98"/>
    </row>
    <row r="99" spans="6:7">
      <c r="F99"/>
      <c r="G99"/>
    </row>
    <row r="100" spans="6:7">
      <c r="F100"/>
      <c r="G100"/>
    </row>
    <row r="101" spans="6:7">
      <c r="F101"/>
      <c r="G101"/>
    </row>
    <row r="102" spans="6:7">
      <c r="F102"/>
      <c r="G102"/>
    </row>
    <row r="103" spans="6:7">
      <c r="F103"/>
      <c r="G103"/>
    </row>
    <row r="104" spans="6:7">
      <c r="F104"/>
      <c r="G104"/>
    </row>
    <row r="105" spans="6:7">
      <c r="F105"/>
      <c r="G105"/>
    </row>
    <row r="106" spans="6:7">
      <c r="F106"/>
      <c r="G106"/>
    </row>
    <row r="107" spans="6:7">
      <c r="F107"/>
      <c r="G107"/>
    </row>
    <row r="108" spans="6:7">
      <c r="F108"/>
      <c r="G108"/>
    </row>
    <row r="109" spans="6:7">
      <c r="F109"/>
      <c r="G109"/>
    </row>
    <row r="110" spans="6:7">
      <c r="F110"/>
      <c r="G110"/>
    </row>
    <row r="111" spans="6:7">
      <c r="F111"/>
      <c r="G111"/>
    </row>
    <row r="112" spans="6:7">
      <c r="F112"/>
      <c r="G112"/>
    </row>
    <row r="113" spans="6:7">
      <c r="F113"/>
      <c r="G113"/>
    </row>
    <row r="114" spans="6:7">
      <c r="F114"/>
      <c r="G114"/>
    </row>
    <row r="115" spans="6:7">
      <c r="F115"/>
      <c r="G115"/>
    </row>
    <row r="116" spans="6:7">
      <c r="F116"/>
      <c r="G116"/>
    </row>
    <row r="117" spans="6:7">
      <c r="F117"/>
      <c r="G117"/>
    </row>
    <row r="118" spans="6:7">
      <c r="F118"/>
      <c r="G118"/>
    </row>
    <row r="119" spans="6:7">
      <c r="F119"/>
      <c r="G119"/>
    </row>
    <row r="120" spans="6:7">
      <c r="F120"/>
      <c r="G120"/>
    </row>
    <row r="121" spans="6:7">
      <c r="F121"/>
      <c r="G121"/>
    </row>
    <row r="122" spans="6:7">
      <c r="F122"/>
      <c r="G122"/>
    </row>
    <row r="123" spans="6:7">
      <c r="F123"/>
      <c r="G123"/>
    </row>
    <row r="124" spans="6:7">
      <c r="F124"/>
      <c r="G124"/>
    </row>
    <row r="125" spans="6:7">
      <c r="F125"/>
      <c r="G125"/>
    </row>
    <row r="126" spans="6:7">
      <c r="F126"/>
      <c r="G126"/>
    </row>
    <row r="127" spans="6:7">
      <c r="F127"/>
      <c r="G127"/>
    </row>
    <row r="128" spans="6:7">
      <c r="F128"/>
      <c r="G128"/>
    </row>
    <row r="129" spans="6:7">
      <c r="F129"/>
      <c r="G129"/>
    </row>
    <row r="130" spans="6:7">
      <c r="F130"/>
      <c r="G130"/>
    </row>
    <row r="131" spans="6:7">
      <c r="F131"/>
      <c r="G131"/>
    </row>
    <row r="132" spans="6:7">
      <c r="F132"/>
      <c r="G132"/>
    </row>
    <row r="133" spans="6:7">
      <c r="F133"/>
      <c r="G133"/>
    </row>
    <row r="134" spans="6:7">
      <c r="F134"/>
      <c r="G134"/>
    </row>
    <row r="135" spans="6:7">
      <c r="F135"/>
      <c r="G135"/>
    </row>
    <row r="136" spans="6:7">
      <c r="F136"/>
      <c r="G136"/>
    </row>
    <row r="137" spans="6:7">
      <c r="F137"/>
      <c r="G137"/>
    </row>
    <row r="138" spans="6:7">
      <c r="F138"/>
      <c r="G138"/>
    </row>
    <row r="139" spans="6:7">
      <c r="F139"/>
      <c r="G139"/>
    </row>
    <row r="140" spans="6:7">
      <c r="F140"/>
      <c r="G140"/>
    </row>
    <row r="141" spans="6:7">
      <c r="F141"/>
      <c r="G141"/>
    </row>
    <row r="142" spans="6:7">
      <c r="F142"/>
      <c r="G142"/>
    </row>
    <row r="143" spans="6:7">
      <c r="F143"/>
      <c r="G143"/>
    </row>
    <row r="144" spans="6:7">
      <c r="F144"/>
      <c r="G144"/>
    </row>
    <row r="145" spans="6:7">
      <c r="F145"/>
      <c r="G145"/>
    </row>
    <row r="146" spans="6:7">
      <c r="F146"/>
      <c r="G146"/>
    </row>
    <row r="147" spans="6:7">
      <c r="F147"/>
      <c r="G147"/>
    </row>
    <row r="148" spans="6:7">
      <c r="F148"/>
      <c r="G148"/>
    </row>
    <row r="149" spans="6:7">
      <c r="F149"/>
      <c r="G149"/>
    </row>
    <row r="150" spans="6:7">
      <c r="F150"/>
      <c r="G150"/>
    </row>
    <row r="151" spans="6:7">
      <c r="F151"/>
      <c r="G151"/>
    </row>
    <row r="152" spans="6:7">
      <c r="F152"/>
      <c r="G152"/>
    </row>
    <row r="153" spans="6:7">
      <c r="F153"/>
      <c r="G153"/>
    </row>
    <row r="154" spans="6:7">
      <c r="F154"/>
      <c r="G154"/>
    </row>
    <row r="155" spans="6:7">
      <c r="F155"/>
      <c r="G155"/>
    </row>
    <row r="156" spans="6:7">
      <c r="F156"/>
      <c r="G156"/>
    </row>
    <row r="157" spans="6:7">
      <c r="F157"/>
      <c r="G157"/>
    </row>
    <row r="158" spans="6:7">
      <c r="F158"/>
      <c r="G158"/>
    </row>
    <row r="159" spans="6:7">
      <c r="F159"/>
      <c r="G159"/>
    </row>
    <row r="160" spans="6:7">
      <c r="F160"/>
      <c r="G160"/>
    </row>
    <row r="161" spans="6:7">
      <c r="F161"/>
      <c r="G161"/>
    </row>
    <row r="162" spans="6:7">
      <c r="F162"/>
      <c r="G162"/>
    </row>
    <row r="163" spans="6:7">
      <c r="F163"/>
      <c r="G163"/>
    </row>
    <row r="164" spans="6:7">
      <c r="F164"/>
      <c r="G164"/>
    </row>
    <row r="165" spans="6:7">
      <c r="F165"/>
      <c r="G165"/>
    </row>
    <row r="166" spans="6:7">
      <c r="F166"/>
      <c r="G166"/>
    </row>
    <row r="167" spans="6:7">
      <c r="F167"/>
      <c r="G167"/>
    </row>
    <row r="168" spans="6:7">
      <c r="F168"/>
      <c r="G168"/>
    </row>
    <row r="169" spans="6:7">
      <c r="F169"/>
      <c r="G169"/>
    </row>
    <row r="170" spans="6:7">
      <c r="F170"/>
      <c r="G170"/>
    </row>
    <row r="171" spans="6:7">
      <c r="F171"/>
      <c r="G171"/>
    </row>
    <row r="172" spans="6:7">
      <c r="F172"/>
      <c r="G172"/>
    </row>
    <row r="173" spans="6:7">
      <c r="F173"/>
      <c r="G173"/>
    </row>
    <row r="174" spans="6:7">
      <c r="F174"/>
      <c r="G174"/>
    </row>
    <row r="175" spans="6:7">
      <c r="F175"/>
      <c r="G175"/>
    </row>
    <row r="176" spans="6:7">
      <c r="F176"/>
      <c r="G176"/>
    </row>
    <row r="177" spans="6:7">
      <c r="F177"/>
      <c r="G177"/>
    </row>
    <row r="178" spans="6:7">
      <c r="F178"/>
      <c r="G178"/>
    </row>
    <row r="179" spans="6:7">
      <c r="F179"/>
      <c r="G179"/>
    </row>
    <row r="180" spans="6:7">
      <c r="F180"/>
      <c r="G180"/>
    </row>
    <row r="181" spans="6:7">
      <c r="F181"/>
      <c r="G181"/>
    </row>
    <row r="182" spans="6:7">
      <c r="F182"/>
      <c r="G182"/>
    </row>
    <row r="183" spans="6:7">
      <c r="F183"/>
      <c r="G183"/>
    </row>
    <row r="184" spans="6:7">
      <c r="F184"/>
      <c r="G184"/>
    </row>
    <row r="185" spans="6:7">
      <c r="F185"/>
      <c r="G185"/>
    </row>
    <row r="186" spans="6:7">
      <c r="F186"/>
      <c r="G186"/>
    </row>
    <row r="187" spans="6:7">
      <c r="F187"/>
      <c r="G187"/>
    </row>
    <row r="188" spans="6:7">
      <c r="F188"/>
      <c r="G188"/>
    </row>
    <row r="189" spans="6:7">
      <c r="F189"/>
      <c r="G189"/>
    </row>
    <row r="190" spans="6:7">
      <c r="F190"/>
      <c r="G190"/>
    </row>
    <row r="191" spans="6:7">
      <c r="F191"/>
      <c r="G191"/>
    </row>
    <row r="192" spans="6:7">
      <c r="F192"/>
      <c r="G192"/>
    </row>
    <row r="193" spans="6:7">
      <c r="F193"/>
      <c r="G193"/>
    </row>
    <row r="194" spans="6:7">
      <c r="F194"/>
      <c r="G194"/>
    </row>
    <row r="195" spans="6:7">
      <c r="F195"/>
      <c r="G195"/>
    </row>
    <row r="196" spans="6:7">
      <c r="F196"/>
      <c r="G196"/>
    </row>
    <row r="197" spans="6:7">
      <c r="F197"/>
      <c r="G197"/>
    </row>
    <row r="198" spans="6:7">
      <c r="F198"/>
      <c r="G198"/>
    </row>
    <row r="199" spans="6:7">
      <c r="F199"/>
      <c r="G199"/>
    </row>
    <row r="200" spans="6:7">
      <c r="F200"/>
      <c r="G200"/>
    </row>
    <row r="201" spans="6:7">
      <c r="F201"/>
      <c r="G201"/>
    </row>
    <row r="202" spans="6:7">
      <c r="F202"/>
      <c r="G202"/>
    </row>
    <row r="203" spans="6:7">
      <c r="F203"/>
      <c r="G203"/>
    </row>
    <row r="204" spans="6:7">
      <c r="F204"/>
      <c r="G204"/>
    </row>
    <row r="205" spans="6:7">
      <c r="F205"/>
      <c r="G205"/>
    </row>
    <row r="206" spans="6:7">
      <c r="F206"/>
      <c r="G206"/>
    </row>
    <row r="207" spans="6:7">
      <c r="F207"/>
      <c r="G207"/>
    </row>
    <row r="208" spans="6:7">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sheetData>
  <autoFilter ref="B10:Z68" xr:uid="{00000000-0001-0000-0100-000000000000}"/>
  <mergeCells count="20">
    <mergeCell ref="N9:N10"/>
    <mergeCell ref="B9:B10"/>
    <mergeCell ref="C9:C10"/>
    <mergeCell ref="D9:D10"/>
    <mergeCell ref="E9:E10"/>
    <mergeCell ref="F9:F10"/>
    <mergeCell ref="G9:G10"/>
    <mergeCell ref="H9:I9"/>
    <mergeCell ref="J9:J10"/>
    <mergeCell ref="K9:K10"/>
    <mergeCell ref="L9:L10"/>
    <mergeCell ref="M9:M10"/>
    <mergeCell ref="Y9:Y10"/>
    <mergeCell ref="Z9:Z10"/>
    <mergeCell ref="O9:O10"/>
    <mergeCell ref="P9:Q9"/>
    <mergeCell ref="R9:U9"/>
    <mergeCell ref="V9:V10"/>
    <mergeCell ref="W9:W10"/>
    <mergeCell ref="X9:X1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D1DF0-CC91-4A56-91B7-BA63FE89E1B2}">
  <sheetPr>
    <tabColor rgb="FF00B050"/>
  </sheetPr>
  <dimension ref="B2:AA29"/>
  <sheetViews>
    <sheetView showGridLines="0" zoomScale="70" zoomScaleNormal="70" workbookViewId="0">
      <pane xSplit="7" ySplit="10" topLeftCell="X11" activePane="bottomRight" state="frozen"/>
      <selection pane="bottomRight" activeCell="X12" sqref="X12"/>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6.140625" customWidth="1"/>
    <col min="19" max="19" width="9.7109375" customWidth="1"/>
    <col min="20" max="20" width="17.7109375" bestFit="1" customWidth="1"/>
    <col min="21" max="21" width="18.85546875" bestFit="1" customWidth="1"/>
    <col min="22" max="22" width="17.7109375" bestFit="1" customWidth="1"/>
    <col min="23" max="23" width="23.28515625" bestFit="1" customWidth="1"/>
    <col min="24" max="24" width="19.85546875" customWidth="1"/>
    <col min="25" max="25" width="21" customWidth="1"/>
  </cols>
  <sheetData>
    <row r="2" spans="2:27" ht="18">
      <c r="B2" s="8" t="s">
        <v>0</v>
      </c>
    </row>
    <row r="3" spans="2:27">
      <c r="B3" s="7" t="s">
        <v>1</v>
      </c>
      <c r="D3" s="9" t="s">
        <v>2</v>
      </c>
      <c r="E3" s="6"/>
    </row>
    <row r="4" spans="2:27">
      <c r="B4" s="7" t="s">
        <v>3</v>
      </c>
      <c r="D4" s="10" t="s">
        <v>635</v>
      </c>
      <c r="E4" s="5"/>
    </row>
    <row r="5" spans="2:27">
      <c r="B5" s="7" t="s">
        <v>5</v>
      </c>
      <c r="D5" s="10" t="s">
        <v>6</v>
      </c>
      <c r="E5" s="5"/>
    </row>
    <row r="7" spans="2:27">
      <c r="W7" s="19"/>
    </row>
    <row r="8" spans="2:27">
      <c r="G8"/>
      <c r="H8"/>
      <c r="I8"/>
      <c r="J8"/>
      <c r="L8"/>
      <c r="N8"/>
    </row>
    <row r="9" spans="2:27"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703</v>
      </c>
      <c r="W9" s="37" t="s">
        <v>24</v>
      </c>
      <c r="X9" s="37" t="s">
        <v>704</v>
      </c>
      <c r="Y9" s="37" t="s">
        <v>26</v>
      </c>
    </row>
    <row r="10" spans="2:27"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row>
    <row r="11" spans="2:27" s="14" customFormat="1">
      <c r="B11" s="11">
        <v>1</v>
      </c>
      <c r="C11" s="12" t="s">
        <v>637</v>
      </c>
      <c r="D11" s="12" t="s">
        <v>638</v>
      </c>
      <c r="E11" s="12" t="s">
        <v>639</v>
      </c>
      <c r="F11" s="12" t="s">
        <v>640</v>
      </c>
      <c r="G11" s="11">
        <v>2023</v>
      </c>
      <c r="H11" s="16">
        <v>45291</v>
      </c>
      <c r="I11" s="16">
        <v>45657</v>
      </c>
      <c r="J11" s="11">
        <v>2975</v>
      </c>
      <c r="K11" s="12" t="s">
        <v>205</v>
      </c>
      <c r="L11" s="16">
        <v>45526</v>
      </c>
      <c r="M11" s="12" t="s">
        <v>87</v>
      </c>
      <c r="N11" s="11" t="s">
        <v>41</v>
      </c>
      <c r="O11" s="25">
        <v>17060000</v>
      </c>
      <c r="P11" s="2">
        <v>10</v>
      </c>
      <c r="Q11" s="25">
        <v>1706000</v>
      </c>
      <c r="R11" s="25">
        <v>853000</v>
      </c>
      <c r="S11" s="25">
        <v>0</v>
      </c>
      <c r="T11" s="25">
        <v>853000</v>
      </c>
      <c r="U11" s="25">
        <v>0</v>
      </c>
      <c r="V11" s="18">
        <v>170600</v>
      </c>
      <c r="W11" s="13">
        <v>0</v>
      </c>
      <c r="X11" s="13">
        <f>W11*20%</f>
        <v>0</v>
      </c>
      <c r="Y11" s="13"/>
      <c r="Z11" s="31"/>
      <c r="AA11" s="30"/>
    </row>
    <row r="13" spans="2:27">
      <c r="V13" s="17">
        <f>SUBTOTAL(9,V11:V11)</f>
        <v>170600</v>
      </c>
      <c r="W13" s="19"/>
    </row>
    <row r="14" spans="2:27">
      <c r="V14" s="19"/>
    </row>
    <row r="23" spans="12:14">
      <c r="L23"/>
      <c r="N23"/>
    </row>
    <row r="24" spans="12:14">
      <c r="L24"/>
      <c r="N24"/>
    </row>
    <row r="25" spans="12:14">
      <c r="L25"/>
      <c r="N25"/>
    </row>
    <row r="26" spans="12:14">
      <c r="L26"/>
      <c r="N26"/>
    </row>
    <row r="27" spans="12:14">
      <c r="L27"/>
      <c r="N27"/>
    </row>
    <row r="28" spans="12:14">
      <c r="L28"/>
      <c r="N28"/>
    </row>
    <row r="29" spans="12:14">
      <c r="L29"/>
      <c r="N29"/>
    </row>
  </sheetData>
  <autoFilter ref="B10:Y11" xr:uid="{00000000-0001-0000-0100-000000000000}"/>
  <mergeCells count="19">
    <mergeCell ref="N9:N10"/>
    <mergeCell ref="B9:B10"/>
    <mergeCell ref="C9:C10"/>
    <mergeCell ref="D9:D10"/>
    <mergeCell ref="E9:E10"/>
    <mergeCell ref="F9:F10"/>
    <mergeCell ref="G9:G10"/>
    <mergeCell ref="H9:I9"/>
    <mergeCell ref="J9:J10"/>
    <mergeCell ref="K9:K10"/>
    <mergeCell ref="L9:L10"/>
    <mergeCell ref="M9:M10"/>
    <mergeCell ref="Y9:Y10"/>
    <mergeCell ref="O9:O10"/>
    <mergeCell ref="P9:Q9"/>
    <mergeCell ref="R9:U9"/>
    <mergeCell ref="V9:V10"/>
    <mergeCell ref="W9:W10"/>
    <mergeCell ref="X9:X1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184D-B8FD-443B-BD1A-79EE107EE419}">
  <sheetPr>
    <tabColor rgb="FF00B050"/>
  </sheetPr>
  <dimension ref="B2:AB44"/>
  <sheetViews>
    <sheetView showGridLines="0" zoomScale="70" zoomScaleNormal="70" workbookViewId="0">
      <pane xSplit="7" ySplit="10" topLeftCell="H11" activePane="bottomRight" state="frozen"/>
      <selection pane="bottomRight" activeCell="H28" sqref="H28"/>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20" width="15.28515625" customWidth="1"/>
    <col min="21" max="21" width="18.85546875" customWidth="1"/>
    <col min="22" max="23" width="17.7109375" bestFit="1" customWidth="1"/>
    <col min="24" max="24" width="23.28515625" bestFit="1" customWidth="1"/>
    <col min="25" max="25" width="19.85546875" customWidth="1"/>
    <col min="26" max="26" width="21" customWidth="1"/>
    <col min="27" max="27" width="15.7109375" bestFit="1" customWidth="1"/>
  </cols>
  <sheetData>
    <row r="2" spans="2:28" ht="18">
      <c r="B2" s="8" t="s">
        <v>0</v>
      </c>
    </row>
    <row r="3" spans="2:28">
      <c r="B3" s="7" t="s">
        <v>1</v>
      </c>
      <c r="D3" s="9" t="s">
        <v>2</v>
      </c>
      <c r="E3" s="6"/>
    </row>
    <row r="4" spans="2:28">
      <c r="B4" s="7" t="s">
        <v>3</v>
      </c>
      <c r="D4" s="10" t="s">
        <v>641</v>
      </c>
      <c r="E4" s="5"/>
    </row>
    <row r="5" spans="2:28">
      <c r="B5" s="7" t="s">
        <v>5</v>
      </c>
      <c r="D5" s="10" t="s">
        <v>6</v>
      </c>
      <c r="E5" s="5"/>
    </row>
    <row r="7" spans="2:28">
      <c r="X7" s="19"/>
    </row>
    <row r="8" spans="2:28">
      <c r="G8"/>
      <c r="H8"/>
      <c r="I8"/>
      <c r="J8"/>
      <c r="L8"/>
      <c r="N8"/>
    </row>
    <row r="9" spans="2:28"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705</v>
      </c>
      <c r="W9" s="37" t="s">
        <v>706</v>
      </c>
      <c r="X9" s="37" t="s">
        <v>24</v>
      </c>
      <c r="Y9" s="37" t="s">
        <v>704</v>
      </c>
      <c r="Z9" s="37" t="s">
        <v>26</v>
      </c>
    </row>
    <row r="10" spans="2:28"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c r="Z10" s="37"/>
    </row>
    <row r="11" spans="2:28" s="14" customFormat="1">
      <c r="B11" s="11">
        <v>1</v>
      </c>
      <c r="C11" s="12" t="s">
        <v>642</v>
      </c>
      <c r="D11" s="12" t="s">
        <v>643</v>
      </c>
      <c r="E11" s="12" t="s">
        <v>644</v>
      </c>
      <c r="F11" s="12" t="s">
        <v>645</v>
      </c>
      <c r="G11" s="11">
        <v>2023</v>
      </c>
      <c r="H11" s="16">
        <v>44968</v>
      </c>
      <c r="I11" s="16">
        <v>44996</v>
      </c>
      <c r="J11" s="11" t="s">
        <v>464</v>
      </c>
      <c r="K11" s="12" t="s">
        <v>464</v>
      </c>
      <c r="L11" s="16">
        <v>44978</v>
      </c>
      <c r="M11" s="12" t="s">
        <v>40</v>
      </c>
      <c r="N11" s="11" t="s">
        <v>41</v>
      </c>
      <c r="O11" s="25">
        <v>77450000</v>
      </c>
      <c r="P11" s="2">
        <v>100</v>
      </c>
      <c r="Q11" s="25">
        <v>77450000</v>
      </c>
      <c r="R11" s="25">
        <v>52457995.968440101</v>
      </c>
      <c r="S11" s="25">
        <v>9257294</v>
      </c>
      <c r="T11" s="25">
        <v>0</v>
      </c>
      <c r="U11" s="25">
        <v>15734710.031559899</v>
      </c>
      <c r="V11" s="18">
        <v>1851459</v>
      </c>
      <c r="W11" s="18">
        <v>0</v>
      </c>
      <c r="X11" s="13">
        <v>2411896914</v>
      </c>
      <c r="Y11" s="13">
        <f>X11*20%</f>
        <v>482379382.80000001</v>
      </c>
      <c r="Z11" s="13"/>
      <c r="AA11" s="31"/>
      <c r="AB11" s="30"/>
    </row>
    <row r="12" spans="2:28">
      <c r="B12" s="11">
        <v>2</v>
      </c>
      <c r="C12" s="1" t="s">
        <v>646</v>
      </c>
      <c r="D12" s="1" t="s">
        <v>647</v>
      </c>
      <c r="E12" s="1" t="s">
        <v>648</v>
      </c>
      <c r="F12" s="12" t="s">
        <v>645</v>
      </c>
      <c r="G12" s="11">
        <v>2023</v>
      </c>
      <c r="H12" s="16">
        <v>45164</v>
      </c>
      <c r="I12" s="16">
        <v>45195</v>
      </c>
      <c r="J12" s="11" t="s">
        <v>464</v>
      </c>
      <c r="K12" s="12" t="s">
        <v>464</v>
      </c>
      <c r="L12" s="16">
        <v>45176</v>
      </c>
      <c r="M12" s="12" t="s">
        <v>87</v>
      </c>
      <c r="N12" s="11" t="s">
        <v>41</v>
      </c>
      <c r="O12" s="25">
        <v>118753128</v>
      </c>
      <c r="P12" s="2">
        <v>12.5</v>
      </c>
      <c r="Q12" s="25">
        <v>14844141</v>
      </c>
      <c r="R12" s="25">
        <v>12617519.85</v>
      </c>
      <c r="S12" s="25">
        <v>2226620</v>
      </c>
      <c r="T12" s="25">
        <v>0</v>
      </c>
      <c r="U12" s="25">
        <v>1.150000000372529</v>
      </c>
      <c r="V12" s="13">
        <v>445323.99999999802</v>
      </c>
      <c r="W12" s="18">
        <v>0</v>
      </c>
      <c r="X12" s="13">
        <v>0</v>
      </c>
      <c r="Y12" s="13">
        <f>X12*20%</f>
        <v>0</v>
      </c>
      <c r="Z12" s="26"/>
      <c r="AA12" s="31"/>
      <c r="AB12" s="30"/>
    </row>
    <row r="13" spans="2:28">
      <c r="B13" s="11">
        <v>3</v>
      </c>
      <c r="C13" s="1" t="s">
        <v>649</v>
      </c>
      <c r="D13" s="1" t="s">
        <v>650</v>
      </c>
      <c r="E13" s="1" t="s">
        <v>651</v>
      </c>
      <c r="F13" s="12" t="s">
        <v>645</v>
      </c>
      <c r="G13" s="11">
        <v>2024</v>
      </c>
      <c r="H13" s="16">
        <v>45561</v>
      </c>
      <c r="I13" s="16">
        <v>45622</v>
      </c>
      <c r="J13" s="11" t="s">
        <v>464</v>
      </c>
      <c r="K13" s="12" t="s">
        <v>464</v>
      </c>
      <c r="L13" s="16">
        <v>45563</v>
      </c>
      <c r="M13" s="12" t="s">
        <v>40</v>
      </c>
      <c r="N13" s="11" t="s">
        <v>41</v>
      </c>
      <c r="O13" s="25">
        <v>157744560</v>
      </c>
      <c r="P13" s="2">
        <v>100</v>
      </c>
      <c r="Q13" s="25">
        <v>157744560</v>
      </c>
      <c r="R13" s="25">
        <v>134082876</v>
      </c>
      <c r="S13" s="25">
        <v>23661684</v>
      </c>
      <c r="T13" s="25">
        <v>0</v>
      </c>
      <c r="U13" s="25">
        <v>0</v>
      </c>
      <c r="V13" s="13">
        <v>1183084</v>
      </c>
      <c r="W13" s="18">
        <v>0</v>
      </c>
      <c r="X13" s="13">
        <v>0</v>
      </c>
      <c r="Y13" s="13">
        <f>X13*5%</f>
        <v>0</v>
      </c>
      <c r="Z13" s="26"/>
      <c r="AA13" s="31"/>
      <c r="AB13" s="30"/>
    </row>
    <row r="14" spans="2:28">
      <c r="B14" s="11">
        <v>4</v>
      </c>
      <c r="C14" s="1" t="s">
        <v>652</v>
      </c>
      <c r="D14" s="1" t="s">
        <v>653</v>
      </c>
      <c r="E14" s="1" t="s">
        <v>654</v>
      </c>
      <c r="F14" s="12" t="s">
        <v>645</v>
      </c>
      <c r="G14" s="11">
        <v>2024</v>
      </c>
      <c r="H14" s="16">
        <v>45428</v>
      </c>
      <c r="I14" s="16">
        <v>45488</v>
      </c>
      <c r="J14" s="11" t="s">
        <v>464</v>
      </c>
      <c r="K14" s="12" t="s">
        <v>464</v>
      </c>
      <c r="L14" s="16">
        <v>45453</v>
      </c>
      <c r="M14" s="12" t="s">
        <v>87</v>
      </c>
      <c r="N14" s="11" t="s">
        <v>41</v>
      </c>
      <c r="O14" s="25">
        <v>12530087</v>
      </c>
      <c r="P14" s="2">
        <v>15</v>
      </c>
      <c r="Q14" s="25">
        <v>1879513.05</v>
      </c>
      <c r="R14" s="25">
        <v>852045.91594686697</v>
      </c>
      <c r="S14" s="25">
        <v>150361</v>
      </c>
      <c r="T14" s="25">
        <v>0</v>
      </c>
      <c r="U14" s="25">
        <v>877106.13405313308</v>
      </c>
      <c r="V14" s="13">
        <v>7518</v>
      </c>
      <c r="W14" s="18">
        <v>0</v>
      </c>
      <c r="X14" s="13">
        <v>0</v>
      </c>
      <c r="Y14" s="13">
        <f t="shared" ref="Y14:Y15" si="0">X14*5%</f>
        <v>0</v>
      </c>
      <c r="Z14" s="26"/>
      <c r="AA14" s="31"/>
      <c r="AB14" s="30"/>
    </row>
    <row r="15" spans="2:28">
      <c r="B15" s="11">
        <v>5</v>
      </c>
      <c r="C15" s="1" t="s">
        <v>655</v>
      </c>
      <c r="D15" s="1" t="s">
        <v>656</v>
      </c>
      <c r="E15" s="1" t="s">
        <v>657</v>
      </c>
      <c r="F15" s="12" t="s">
        <v>645</v>
      </c>
      <c r="G15" s="11">
        <v>2024</v>
      </c>
      <c r="H15" s="16">
        <v>45568</v>
      </c>
      <c r="I15" s="16">
        <v>45657</v>
      </c>
      <c r="J15" s="11" t="s">
        <v>464</v>
      </c>
      <c r="K15" s="12" t="s">
        <v>464</v>
      </c>
      <c r="L15" s="16">
        <v>45617</v>
      </c>
      <c r="M15" s="12" t="s">
        <v>87</v>
      </c>
      <c r="N15" s="11" t="s">
        <v>41</v>
      </c>
      <c r="O15" s="25">
        <v>57284249.849999994</v>
      </c>
      <c r="P15" s="2">
        <v>15</v>
      </c>
      <c r="Q15" s="25">
        <v>8592637.4774999991</v>
      </c>
      <c r="R15" s="25">
        <v>7303741.8558750004</v>
      </c>
      <c r="S15" s="25">
        <v>1288896</v>
      </c>
      <c r="T15" s="25">
        <v>0</v>
      </c>
      <c r="U15" s="25">
        <v>-0.37837500125169754</v>
      </c>
      <c r="V15" s="18">
        <v>64445</v>
      </c>
      <c r="W15" s="18">
        <v>0</v>
      </c>
      <c r="X15" s="13">
        <v>0</v>
      </c>
      <c r="Y15" s="13">
        <f t="shared" si="0"/>
        <v>0</v>
      </c>
      <c r="Z15" s="26"/>
      <c r="AA15" s="31"/>
      <c r="AB15" s="30"/>
    </row>
    <row r="16" spans="2:28">
      <c r="B16" s="11">
        <v>6</v>
      </c>
      <c r="C16" s="1" t="s">
        <v>642</v>
      </c>
      <c r="D16" s="1" t="s">
        <v>643</v>
      </c>
      <c r="E16" s="1" t="s">
        <v>644</v>
      </c>
      <c r="F16" s="12" t="s">
        <v>645</v>
      </c>
      <c r="G16" s="11">
        <v>2023</v>
      </c>
      <c r="H16" s="16">
        <v>44968</v>
      </c>
      <c r="I16" s="16">
        <v>44996</v>
      </c>
      <c r="J16" s="11" t="s">
        <v>464</v>
      </c>
      <c r="K16" s="12" t="s">
        <v>464</v>
      </c>
      <c r="L16" s="16">
        <v>44978</v>
      </c>
      <c r="M16" s="12" t="s">
        <v>40</v>
      </c>
      <c r="N16" s="11" t="s">
        <v>41</v>
      </c>
      <c r="O16" s="25">
        <v>77450000</v>
      </c>
      <c r="P16" s="2">
        <v>100</v>
      </c>
      <c r="Q16" s="25">
        <v>77450000</v>
      </c>
      <c r="R16" s="25">
        <v>52457995.968440101</v>
      </c>
      <c r="S16" s="25">
        <v>0</v>
      </c>
      <c r="T16" s="25">
        <v>15734710</v>
      </c>
      <c r="U16" s="25">
        <v>9257294.0315598994</v>
      </c>
      <c r="V16" s="13">
        <v>0</v>
      </c>
      <c r="W16" s="18">
        <v>3146942</v>
      </c>
      <c r="X16" s="13">
        <v>2411896914</v>
      </c>
      <c r="Y16" s="13">
        <f t="shared" ref="Y16:Y17" si="1">X16*20%</f>
        <v>482379382.80000001</v>
      </c>
      <c r="Z16" s="26"/>
      <c r="AA16" s="31"/>
      <c r="AB16" s="30"/>
    </row>
    <row r="17" spans="2:28">
      <c r="B17" s="11">
        <v>7</v>
      </c>
      <c r="C17" s="1" t="s">
        <v>680</v>
      </c>
      <c r="D17" s="1" t="s">
        <v>681</v>
      </c>
      <c r="E17" s="1" t="s">
        <v>682</v>
      </c>
      <c r="F17" s="12" t="s">
        <v>645</v>
      </c>
      <c r="G17" s="11">
        <v>2023</v>
      </c>
      <c r="H17" s="16">
        <v>45261</v>
      </c>
      <c r="I17" s="16">
        <v>45321</v>
      </c>
      <c r="J17" s="11" t="s">
        <v>464</v>
      </c>
      <c r="K17" s="12" t="s">
        <v>464</v>
      </c>
      <c r="L17" s="16">
        <v>45316</v>
      </c>
      <c r="M17" s="12" t="s">
        <v>87</v>
      </c>
      <c r="N17" s="11" t="s">
        <v>431</v>
      </c>
      <c r="O17" s="25">
        <v>1220.6199999999999</v>
      </c>
      <c r="P17" s="2">
        <v>12.5</v>
      </c>
      <c r="Q17" s="25">
        <v>152.57749999999999</v>
      </c>
      <c r="R17" s="25">
        <v>129.69087500000001</v>
      </c>
      <c r="S17" s="25">
        <v>22.89</v>
      </c>
      <c r="T17" s="25">
        <v>0</v>
      </c>
      <c r="U17" s="25">
        <v>-3.3750000000196678E-3</v>
      </c>
      <c r="V17" s="13">
        <v>4.58</v>
      </c>
      <c r="W17" s="18">
        <v>0</v>
      </c>
      <c r="X17" s="13">
        <v>0</v>
      </c>
      <c r="Y17" s="13">
        <f t="shared" si="1"/>
        <v>0</v>
      </c>
      <c r="Z17" s="13"/>
      <c r="AA17" s="31"/>
      <c r="AB17" s="30"/>
    </row>
    <row r="18" spans="2:28">
      <c r="B18" s="11">
        <v>8</v>
      </c>
      <c r="C18" s="1" t="s">
        <v>683</v>
      </c>
      <c r="D18" s="1" t="s">
        <v>684</v>
      </c>
      <c r="E18" s="1" t="s">
        <v>657</v>
      </c>
      <c r="F18" s="12" t="s">
        <v>645</v>
      </c>
      <c r="G18" s="11">
        <v>2024</v>
      </c>
      <c r="H18" s="16">
        <v>45546</v>
      </c>
      <c r="I18" s="16">
        <v>45576</v>
      </c>
      <c r="J18" s="11" t="s">
        <v>464</v>
      </c>
      <c r="K18" s="12" t="s">
        <v>464</v>
      </c>
      <c r="L18" s="16">
        <v>45546</v>
      </c>
      <c r="M18" s="12" t="s">
        <v>87</v>
      </c>
      <c r="N18" s="11" t="s">
        <v>431</v>
      </c>
      <c r="O18" s="25">
        <v>1091.93</v>
      </c>
      <c r="P18" s="2">
        <v>15</v>
      </c>
      <c r="Q18" s="25">
        <v>163.7895</v>
      </c>
      <c r="R18" s="25">
        <v>139.22107500000001</v>
      </c>
      <c r="S18" s="25">
        <v>24.57</v>
      </c>
      <c r="T18" s="25">
        <v>0</v>
      </c>
      <c r="U18" s="25">
        <v>-1.575000000009652E-3</v>
      </c>
      <c r="V18" s="18">
        <v>1.23</v>
      </c>
      <c r="W18" s="18">
        <v>0</v>
      </c>
      <c r="X18" s="13">
        <v>0</v>
      </c>
      <c r="Y18" s="13">
        <f t="shared" ref="Y18:Y26" si="2">X18*5%</f>
        <v>0</v>
      </c>
      <c r="Z18" s="13"/>
      <c r="AA18" s="31"/>
      <c r="AB18" s="30"/>
    </row>
    <row r="19" spans="2:28">
      <c r="B19" s="11">
        <v>9</v>
      </c>
      <c r="C19" s="1" t="s">
        <v>685</v>
      </c>
      <c r="D19" s="1" t="s">
        <v>684</v>
      </c>
      <c r="E19" s="1" t="s">
        <v>657</v>
      </c>
      <c r="F19" s="12" t="s">
        <v>645</v>
      </c>
      <c r="G19" s="11">
        <v>2024</v>
      </c>
      <c r="H19" s="16">
        <v>45544</v>
      </c>
      <c r="I19" s="16">
        <v>45574</v>
      </c>
      <c r="J19" s="11" t="s">
        <v>464</v>
      </c>
      <c r="K19" s="12" t="s">
        <v>464</v>
      </c>
      <c r="L19" s="16">
        <v>45544</v>
      </c>
      <c r="M19" s="12" t="s">
        <v>87</v>
      </c>
      <c r="N19" s="11" t="s">
        <v>431</v>
      </c>
      <c r="O19" s="25">
        <v>1091.93</v>
      </c>
      <c r="P19" s="2">
        <v>15</v>
      </c>
      <c r="Q19" s="25">
        <v>163.7895</v>
      </c>
      <c r="R19" s="25">
        <v>139.22107500000001</v>
      </c>
      <c r="S19" s="25">
        <v>24.57</v>
      </c>
      <c r="T19" s="25">
        <v>0</v>
      </c>
      <c r="U19" s="25">
        <v>-1.575000000009652E-3</v>
      </c>
      <c r="V19" s="18">
        <v>1.23</v>
      </c>
      <c r="W19" s="18">
        <v>0</v>
      </c>
      <c r="X19" s="13">
        <v>0</v>
      </c>
      <c r="Y19" s="13">
        <f t="shared" si="2"/>
        <v>0</v>
      </c>
      <c r="Z19" s="13"/>
      <c r="AA19" s="31"/>
      <c r="AB19" s="30"/>
    </row>
    <row r="20" spans="2:28">
      <c r="B20" s="11">
        <v>10</v>
      </c>
      <c r="C20" s="1" t="s">
        <v>686</v>
      </c>
      <c r="D20" s="1" t="s">
        <v>684</v>
      </c>
      <c r="E20" s="1" t="s">
        <v>657</v>
      </c>
      <c r="F20" s="12" t="s">
        <v>645</v>
      </c>
      <c r="G20" s="11">
        <v>2024</v>
      </c>
      <c r="H20" s="16">
        <v>45532</v>
      </c>
      <c r="I20" s="16">
        <v>45563</v>
      </c>
      <c r="J20" s="11" t="s">
        <v>464</v>
      </c>
      <c r="K20" s="12" t="s">
        <v>464</v>
      </c>
      <c r="L20" s="16">
        <v>45532</v>
      </c>
      <c r="M20" s="12" t="s">
        <v>87</v>
      </c>
      <c r="N20" s="11" t="s">
        <v>431</v>
      </c>
      <c r="O20" s="25">
        <v>1091.93</v>
      </c>
      <c r="P20" s="2">
        <v>15</v>
      </c>
      <c r="Q20" s="25">
        <v>163.7895</v>
      </c>
      <c r="R20" s="25">
        <v>139.22107500000001</v>
      </c>
      <c r="S20" s="25">
        <v>24.57</v>
      </c>
      <c r="T20" s="25">
        <v>0</v>
      </c>
      <c r="U20" s="25">
        <v>-1.575000000009652E-3</v>
      </c>
      <c r="V20" s="18">
        <v>1.23</v>
      </c>
      <c r="W20" s="18">
        <v>0</v>
      </c>
      <c r="X20" s="13">
        <v>0</v>
      </c>
      <c r="Y20" s="13">
        <f t="shared" si="2"/>
        <v>0</v>
      </c>
      <c r="Z20" s="13"/>
      <c r="AA20" s="31"/>
      <c r="AB20" s="30"/>
    </row>
    <row r="21" spans="2:28">
      <c r="B21" s="11">
        <v>11</v>
      </c>
      <c r="C21" s="1" t="s">
        <v>687</v>
      </c>
      <c r="D21" s="1" t="s">
        <v>684</v>
      </c>
      <c r="E21" s="1" t="s">
        <v>657</v>
      </c>
      <c r="F21" s="12" t="s">
        <v>645</v>
      </c>
      <c r="G21" s="11">
        <v>2024</v>
      </c>
      <c r="H21" s="16">
        <v>45532</v>
      </c>
      <c r="I21" s="16">
        <v>45563</v>
      </c>
      <c r="J21" s="11" t="s">
        <v>464</v>
      </c>
      <c r="K21" s="12" t="s">
        <v>464</v>
      </c>
      <c r="L21" s="16">
        <v>45532</v>
      </c>
      <c r="M21" s="12" t="s">
        <v>87</v>
      </c>
      <c r="N21" s="11" t="s">
        <v>431</v>
      </c>
      <c r="O21" s="25">
        <v>1091.93</v>
      </c>
      <c r="P21" s="2">
        <v>15</v>
      </c>
      <c r="Q21" s="25">
        <v>163.7895</v>
      </c>
      <c r="R21" s="25">
        <v>139.22107500000001</v>
      </c>
      <c r="S21" s="25">
        <v>24.57</v>
      </c>
      <c r="T21" s="25">
        <v>0</v>
      </c>
      <c r="U21" s="25">
        <v>-1.575000000009652E-3</v>
      </c>
      <c r="V21" s="13">
        <v>1.23</v>
      </c>
      <c r="W21" s="18">
        <v>0</v>
      </c>
      <c r="X21" s="13">
        <v>0</v>
      </c>
      <c r="Y21" s="13">
        <f t="shared" si="2"/>
        <v>0</v>
      </c>
      <c r="Z21" s="13"/>
      <c r="AA21" s="31"/>
      <c r="AB21" s="30"/>
    </row>
    <row r="22" spans="2:28">
      <c r="B22" s="11">
        <v>12</v>
      </c>
      <c r="C22" s="1" t="s">
        <v>688</v>
      </c>
      <c r="D22" s="1" t="s">
        <v>684</v>
      </c>
      <c r="E22" s="1" t="s">
        <v>657</v>
      </c>
      <c r="F22" s="12" t="s">
        <v>645</v>
      </c>
      <c r="G22" s="11">
        <v>2024</v>
      </c>
      <c r="H22" s="16">
        <v>45531</v>
      </c>
      <c r="I22" s="16">
        <v>45562</v>
      </c>
      <c r="J22" s="11" t="s">
        <v>464</v>
      </c>
      <c r="K22" s="12" t="s">
        <v>464</v>
      </c>
      <c r="L22" s="16">
        <v>45544</v>
      </c>
      <c r="M22" s="12" t="s">
        <v>87</v>
      </c>
      <c r="N22" s="11" t="s">
        <v>431</v>
      </c>
      <c r="O22" s="25">
        <v>4367.72</v>
      </c>
      <c r="P22" s="2">
        <v>15</v>
      </c>
      <c r="Q22" s="25">
        <v>655.15800000000002</v>
      </c>
      <c r="R22" s="25">
        <v>556.88430000000005</v>
      </c>
      <c r="S22" s="25">
        <v>24.57</v>
      </c>
      <c r="T22" s="25">
        <v>0</v>
      </c>
      <c r="U22" s="25">
        <v>73.703699999999969</v>
      </c>
      <c r="V22" s="13">
        <v>1.23</v>
      </c>
      <c r="W22" s="18">
        <v>0</v>
      </c>
      <c r="X22" s="13">
        <v>0</v>
      </c>
      <c r="Y22" s="13">
        <f t="shared" si="2"/>
        <v>0</v>
      </c>
      <c r="Z22" s="13"/>
      <c r="AA22" s="31"/>
      <c r="AB22" s="30"/>
    </row>
    <row r="23" spans="2:28">
      <c r="B23" s="11">
        <v>13</v>
      </c>
      <c r="C23" s="1" t="s">
        <v>689</v>
      </c>
      <c r="D23" s="1" t="s">
        <v>684</v>
      </c>
      <c r="E23" s="1" t="s">
        <v>657</v>
      </c>
      <c r="F23" s="12" t="s">
        <v>645</v>
      </c>
      <c r="G23" s="11">
        <v>2024</v>
      </c>
      <c r="H23" s="16">
        <v>45544</v>
      </c>
      <c r="I23" s="16">
        <v>45574</v>
      </c>
      <c r="J23" s="11" t="s">
        <v>464</v>
      </c>
      <c r="K23" s="12" t="s">
        <v>464</v>
      </c>
      <c r="L23" s="16">
        <v>45544</v>
      </c>
      <c r="M23" s="12" t="s">
        <v>87</v>
      </c>
      <c r="N23" s="11" t="s">
        <v>431</v>
      </c>
      <c r="O23" s="25">
        <v>1091.93</v>
      </c>
      <c r="P23" s="2">
        <v>15</v>
      </c>
      <c r="Q23" s="25">
        <v>163.7895</v>
      </c>
      <c r="R23" s="25">
        <v>139.22107500000001</v>
      </c>
      <c r="S23" s="25">
        <v>24.57</v>
      </c>
      <c r="T23" s="25">
        <v>0</v>
      </c>
      <c r="U23" s="25">
        <v>-1.575000000009652E-3</v>
      </c>
      <c r="V23" s="13">
        <v>1.23</v>
      </c>
      <c r="W23" s="18">
        <v>0</v>
      </c>
      <c r="X23" s="13">
        <v>0</v>
      </c>
      <c r="Y23" s="13">
        <f t="shared" si="2"/>
        <v>0</v>
      </c>
      <c r="Z23" s="13"/>
      <c r="AA23" s="31"/>
      <c r="AB23" s="30"/>
    </row>
    <row r="24" spans="2:28">
      <c r="B24" s="11">
        <v>14</v>
      </c>
      <c r="C24" s="1" t="s">
        <v>690</v>
      </c>
      <c r="D24" s="1" t="s">
        <v>684</v>
      </c>
      <c r="E24" s="1" t="s">
        <v>657</v>
      </c>
      <c r="F24" s="12" t="s">
        <v>645</v>
      </c>
      <c r="G24" s="11">
        <v>2024</v>
      </c>
      <c r="H24" s="16">
        <v>45531</v>
      </c>
      <c r="I24" s="16">
        <v>45562</v>
      </c>
      <c r="J24" s="11" t="s">
        <v>464</v>
      </c>
      <c r="K24" s="12" t="s">
        <v>464</v>
      </c>
      <c r="L24" s="16">
        <v>45531</v>
      </c>
      <c r="M24" s="12" t="s">
        <v>87</v>
      </c>
      <c r="N24" s="11" t="s">
        <v>431</v>
      </c>
      <c r="O24" s="25">
        <v>4367.72</v>
      </c>
      <c r="P24" s="2">
        <v>15</v>
      </c>
      <c r="Q24" s="25">
        <v>655.15800000000002</v>
      </c>
      <c r="R24" s="25">
        <v>556.88430000000005</v>
      </c>
      <c r="S24" s="25">
        <v>24.57</v>
      </c>
      <c r="T24" s="25">
        <v>0</v>
      </c>
      <c r="U24" s="25">
        <v>73.703699999999969</v>
      </c>
      <c r="V24" s="18">
        <v>1.23</v>
      </c>
      <c r="W24" s="18">
        <v>0</v>
      </c>
      <c r="X24" s="13">
        <v>0</v>
      </c>
      <c r="Y24" s="13">
        <f t="shared" si="2"/>
        <v>0</v>
      </c>
      <c r="Z24" s="13"/>
      <c r="AA24" s="31"/>
      <c r="AB24" s="30"/>
    </row>
    <row r="25" spans="2:28">
      <c r="B25" s="11">
        <v>15</v>
      </c>
      <c r="C25" s="1" t="s">
        <v>691</v>
      </c>
      <c r="D25" s="1" t="s">
        <v>684</v>
      </c>
      <c r="E25" s="1" t="s">
        <v>657</v>
      </c>
      <c r="F25" s="12" t="s">
        <v>645</v>
      </c>
      <c r="G25" s="11">
        <v>2024</v>
      </c>
      <c r="H25" s="16">
        <v>45531</v>
      </c>
      <c r="I25" s="16">
        <v>45562</v>
      </c>
      <c r="J25" s="11" t="s">
        <v>464</v>
      </c>
      <c r="K25" s="12" t="s">
        <v>464</v>
      </c>
      <c r="L25" s="16">
        <v>45532</v>
      </c>
      <c r="M25" s="12" t="s">
        <v>87</v>
      </c>
      <c r="N25" s="11" t="s">
        <v>431</v>
      </c>
      <c r="O25" s="25">
        <v>4367.72</v>
      </c>
      <c r="P25" s="2">
        <v>15</v>
      </c>
      <c r="Q25" s="25">
        <v>655.15800000000002</v>
      </c>
      <c r="R25" s="25">
        <v>556.88430000000005</v>
      </c>
      <c r="S25" s="25">
        <v>24.57</v>
      </c>
      <c r="T25" s="25">
        <v>0</v>
      </c>
      <c r="U25" s="25">
        <v>73.703699999999969</v>
      </c>
      <c r="V25" s="13">
        <v>1.23</v>
      </c>
      <c r="W25" s="18">
        <v>0</v>
      </c>
      <c r="X25" s="13">
        <v>0</v>
      </c>
      <c r="Y25" s="13">
        <f t="shared" si="2"/>
        <v>0</v>
      </c>
      <c r="Z25" s="13"/>
      <c r="AA25" s="31"/>
      <c r="AB25" s="30"/>
    </row>
    <row r="26" spans="2:28">
      <c r="B26" s="11">
        <v>16</v>
      </c>
      <c r="C26" s="1" t="s">
        <v>692</v>
      </c>
      <c r="D26" s="1" t="s">
        <v>684</v>
      </c>
      <c r="E26" s="1" t="s">
        <v>657</v>
      </c>
      <c r="F26" s="12" t="s">
        <v>645</v>
      </c>
      <c r="G26" s="11">
        <v>2024</v>
      </c>
      <c r="H26" s="16">
        <v>45531</v>
      </c>
      <c r="I26" s="16">
        <v>45562</v>
      </c>
      <c r="J26" s="11" t="s">
        <v>464</v>
      </c>
      <c r="K26" s="12" t="s">
        <v>464</v>
      </c>
      <c r="L26" s="16">
        <v>45534</v>
      </c>
      <c r="M26" s="12" t="s">
        <v>87</v>
      </c>
      <c r="N26" s="11" t="s">
        <v>431</v>
      </c>
      <c r="O26" s="25">
        <v>4367.72</v>
      </c>
      <c r="P26" s="2">
        <v>15</v>
      </c>
      <c r="Q26" s="25">
        <v>655.15800000000002</v>
      </c>
      <c r="R26" s="25">
        <v>556.88430000000005</v>
      </c>
      <c r="S26" s="25">
        <v>24.57</v>
      </c>
      <c r="T26" s="25">
        <v>0</v>
      </c>
      <c r="U26" s="25">
        <v>73.703699999999969</v>
      </c>
      <c r="V26" s="13">
        <v>1.23</v>
      </c>
      <c r="W26" s="18">
        <v>0</v>
      </c>
      <c r="X26" s="13">
        <v>0</v>
      </c>
      <c r="Y26" s="13">
        <f t="shared" si="2"/>
        <v>0</v>
      </c>
      <c r="Z26" s="12"/>
      <c r="AA26" s="31"/>
      <c r="AB26" s="30"/>
    </row>
    <row r="27" spans="2:28">
      <c r="B27" s="20"/>
      <c r="F27" s="14"/>
      <c r="O27" s="21"/>
      <c r="Q27" s="22"/>
      <c r="R27" s="22"/>
      <c r="S27" s="22"/>
      <c r="T27" s="22"/>
      <c r="U27" s="23"/>
      <c r="V27" s="24"/>
      <c r="W27" s="24"/>
    </row>
    <row r="28" spans="2:28">
      <c r="V28" s="17">
        <f>SUBTOTAL(9,V11:V26)</f>
        <v>4.58</v>
      </c>
      <c r="W28" s="17">
        <f>SUBTOTAL(9,W11:W26)</f>
        <v>0</v>
      </c>
      <c r="X28" s="19"/>
    </row>
    <row r="29" spans="2:28">
      <c r="V29" s="19"/>
      <c r="W29" s="19"/>
    </row>
    <row r="38" spans="12:14">
      <c r="L38"/>
      <c r="N38"/>
    </row>
    <row r="39" spans="12:14">
      <c r="L39"/>
      <c r="N39"/>
    </row>
    <row r="40" spans="12:14">
      <c r="L40"/>
      <c r="N40"/>
    </row>
    <row r="41" spans="12:14">
      <c r="L41"/>
      <c r="N41"/>
    </row>
    <row r="42" spans="12:14">
      <c r="L42"/>
      <c r="N42"/>
    </row>
    <row r="43" spans="12:14">
      <c r="L43"/>
      <c r="N43"/>
    </row>
    <row r="44" spans="12:14">
      <c r="L44"/>
      <c r="N44"/>
    </row>
  </sheetData>
  <autoFilter ref="B10:Z26" xr:uid="{00000000-0001-0000-0100-000000000000}"/>
  <mergeCells count="20">
    <mergeCell ref="N9:N10"/>
    <mergeCell ref="B9:B10"/>
    <mergeCell ref="C9:C10"/>
    <mergeCell ref="D9:D10"/>
    <mergeCell ref="E9:E10"/>
    <mergeCell ref="F9:F10"/>
    <mergeCell ref="G9:G10"/>
    <mergeCell ref="H9:I9"/>
    <mergeCell ref="J9:J10"/>
    <mergeCell ref="K9:K10"/>
    <mergeCell ref="L9:L10"/>
    <mergeCell ref="M9:M10"/>
    <mergeCell ref="Y9:Y10"/>
    <mergeCell ref="Z9:Z10"/>
    <mergeCell ref="O9:O10"/>
    <mergeCell ref="P9:Q9"/>
    <mergeCell ref="R9:U9"/>
    <mergeCell ref="V9:V10"/>
    <mergeCell ref="W9:W10"/>
    <mergeCell ref="X9:X1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CB11-5C96-4AFC-A7CE-0CCAE4437017}">
  <sheetPr>
    <tabColor rgb="FF00B050"/>
  </sheetPr>
  <dimension ref="B2:AA32"/>
  <sheetViews>
    <sheetView showGridLines="0" zoomScale="77" zoomScaleNormal="77" workbookViewId="0">
      <pane xSplit="7" ySplit="10" topLeftCell="H11" activePane="bottomRight" state="frozen"/>
      <selection pane="bottomRight" activeCell="B15" sqref="B15"/>
      <selection pane="bottomLeft" activeCell="G36" sqref="G36"/>
      <selection pane="topRight" activeCell="G36" sqref="G36"/>
    </sheetView>
  </sheetViews>
  <sheetFormatPr defaultRowHeight="14.45"/>
  <cols>
    <col min="1" max="2" width="4.85546875" customWidth="1"/>
    <col min="3" max="3" width="16.5703125" customWidth="1"/>
    <col min="4" max="4" width="17" customWidth="1"/>
    <col min="5" max="5" width="15.85546875" customWidth="1"/>
    <col min="6" max="6" width="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6.140625" customWidth="1"/>
    <col min="19" max="19" width="11.140625" bestFit="1" customWidth="1"/>
    <col min="20" max="20" width="17.7109375" bestFit="1" customWidth="1"/>
    <col min="21" max="21" width="18.85546875" bestFit="1" customWidth="1"/>
    <col min="22" max="22" width="18.85546875" customWidth="1"/>
    <col min="23" max="23" width="17.7109375" bestFit="1" customWidth="1"/>
    <col min="24" max="24" width="23.28515625" bestFit="1" customWidth="1"/>
    <col min="25" max="25" width="19.85546875" customWidth="1"/>
    <col min="26" max="26" width="21" customWidth="1"/>
  </cols>
  <sheetData>
    <row r="2" spans="2:27" ht="18">
      <c r="B2" s="8" t="s">
        <v>0</v>
      </c>
    </row>
    <row r="3" spans="2:27">
      <c r="B3" s="7" t="s">
        <v>1</v>
      </c>
      <c r="D3" s="9" t="s">
        <v>2</v>
      </c>
      <c r="E3" s="6"/>
    </row>
    <row r="4" spans="2:27">
      <c r="B4" s="7" t="s">
        <v>3</v>
      </c>
      <c r="D4" s="10" t="s">
        <v>707</v>
      </c>
      <c r="E4" s="5"/>
    </row>
    <row r="5" spans="2:27">
      <c r="B5" s="7" t="s">
        <v>5</v>
      </c>
      <c r="D5" s="10" t="s">
        <v>6</v>
      </c>
      <c r="E5" s="5"/>
    </row>
    <row r="7" spans="2:27">
      <c r="X7" s="19"/>
    </row>
    <row r="8" spans="2:27">
      <c r="G8"/>
      <c r="H8"/>
      <c r="I8"/>
      <c r="J8"/>
      <c r="L8"/>
      <c r="N8"/>
    </row>
    <row r="9" spans="2:27" s="3" customFormat="1" ht="15" customHeight="1">
      <c r="B9" s="37" t="s">
        <v>7</v>
      </c>
      <c r="C9" s="37" t="s">
        <v>8</v>
      </c>
      <c r="D9" s="37" t="s">
        <v>9</v>
      </c>
      <c r="E9" s="38" t="s">
        <v>10</v>
      </c>
      <c r="F9" s="37" t="s">
        <v>11</v>
      </c>
      <c r="G9" s="37" t="s">
        <v>12</v>
      </c>
      <c r="H9" s="37" t="s">
        <v>13</v>
      </c>
      <c r="I9" s="37"/>
      <c r="J9" s="37" t="s">
        <v>14</v>
      </c>
      <c r="K9" s="37" t="s">
        <v>15</v>
      </c>
      <c r="L9" s="37" t="s">
        <v>16</v>
      </c>
      <c r="M9" s="37" t="s">
        <v>17</v>
      </c>
      <c r="N9" s="37" t="s">
        <v>18</v>
      </c>
      <c r="O9" s="37" t="s">
        <v>19</v>
      </c>
      <c r="P9" s="40" t="s">
        <v>20</v>
      </c>
      <c r="Q9" s="41"/>
      <c r="R9" s="37" t="s">
        <v>21</v>
      </c>
      <c r="S9" s="37"/>
      <c r="T9" s="37"/>
      <c r="U9" s="37"/>
      <c r="V9" s="37" t="s">
        <v>705</v>
      </c>
      <c r="W9" s="37" t="s">
        <v>706</v>
      </c>
      <c r="X9" s="37" t="s">
        <v>24</v>
      </c>
      <c r="Y9" s="37" t="s">
        <v>704</v>
      </c>
      <c r="Z9" s="37" t="s">
        <v>26</v>
      </c>
    </row>
    <row r="10" spans="2:27" s="3" customFormat="1" ht="26.25" customHeight="1">
      <c r="B10" s="37"/>
      <c r="C10" s="37"/>
      <c r="D10" s="37"/>
      <c r="E10" s="39"/>
      <c r="F10" s="37"/>
      <c r="G10" s="37"/>
      <c r="H10" s="4" t="s">
        <v>27</v>
      </c>
      <c r="I10" s="4" t="s">
        <v>28</v>
      </c>
      <c r="J10" s="37"/>
      <c r="K10" s="37"/>
      <c r="L10" s="37"/>
      <c r="M10" s="37"/>
      <c r="N10" s="37"/>
      <c r="O10" s="37"/>
      <c r="P10" s="4" t="s">
        <v>29</v>
      </c>
      <c r="Q10" s="4" t="s">
        <v>30</v>
      </c>
      <c r="R10" s="4" t="s">
        <v>31</v>
      </c>
      <c r="S10" s="4" t="s">
        <v>32</v>
      </c>
      <c r="T10" s="4" t="s">
        <v>33</v>
      </c>
      <c r="U10" s="4" t="s">
        <v>34</v>
      </c>
      <c r="V10" s="37"/>
      <c r="W10" s="37"/>
      <c r="X10" s="37"/>
      <c r="Y10" s="37"/>
      <c r="Z10" s="37"/>
    </row>
    <row r="11" spans="2:27" s="14" customFormat="1">
      <c r="B11" s="11">
        <v>1</v>
      </c>
      <c r="C11" s="12" t="s">
        <v>697</v>
      </c>
      <c r="D11" s="12" t="s">
        <v>698</v>
      </c>
      <c r="E11" s="12" t="s">
        <v>699</v>
      </c>
      <c r="F11" s="12" t="s">
        <v>700</v>
      </c>
      <c r="G11" s="11">
        <v>2024</v>
      </c>
      <c r="H11" s="16">
        <v>45560</v>
      </c>
      <c r="I11" s="16">
        <v>45925</v>
      </c>
      <c r="J11" s="11" t="s">
        <v>464</v>
      </c>
      <c r="K11" s="12" t="s">
        <v>464</v>
      </c>
      <c r="L11" s="16">
        <v>45748</v>
      </c>
      <c r="M11" s="12" t="s">
        <v>87</v>
      </c>
      <c r="N11" s="11" t="s">
        <v>41</v>
      </c>
      <c r="O11" s="25">
        <v>720000</v>
      </c>
      <c r="P11" s="2">
        <v>10</v>
      </c>
      <c r="Q11" s="25">
        <v>72000</v>
      </c>
      <c r="R11" s="25">
        <v>43200</v>
      </c>
      <c r="S11" s="25">
        <v>9450</v>
      </c>
      <c r="T11" s="25">
        <v>0</v>
      </c>
      <c r="U11" s="25">
        <v>19350</v>
      </c>
      <c r="V11" s="25">
        <v>472</v>
      </c>
      <c r="W11" s="18">
        <v>0</v>
      </c>
      <c r="X11" s="13">
        <v>0</v>
      </c>
      <c r="Y11" s="13">
        <f>X11*5%</f>
        <v>0</v>
      </c>
      <c r="Z11" s="13"/>
      <c r="AA11" s="27"/>
    </row>
    <row r="12" spans="2:27" s="14" customFormat="1">
      <c r="B12" s="11">
        <v>2</v>
      </c>
      <c r="C12" s="12" t="s">
        <v>701</v>
      </c>
      <c r="D12" s="12" t="s">
        <v>698</v>
      </c>
      <c r="E12" s="12" t="s">
        <v>699</v>
      </c>
      <c r="F12" s="12" t="s">
        <v>700</v>
      </c>
      <c r="G12" s="11">
        <v>2024</v>
      </c>
      <c r="H12" s="16">
        <v>45560</v>
      </c>
      <c r="I12" s="16">
        <v>45925</v>
      </c>
      <c r="J12" s="11" t="s">
        <v>464</v>
      </c>
      <c r="K12" s="12" t="s">
        <v>464</v>
      </c>
      <c r="L12" s="16">
        <v>45774</v>
      </c>
      <c r="M12" s="12" t="s">
        <v>87</v>
      </c>
      <c r="N12" s="11" t="s">
        <v>41</v>
      </c>
      <c r="O12" s="25">
        <v>720000</v>
      </c>
      <c r="P12" s="2">
        <v>10</v>
      </c>
      <c r="Q12" s="25">
        <v>72000</v>
      </c>
      <c r="R12" s="25">
        <v>43200</v>
      </c>
      <c r="S12" s="25">
        <v>1350</v>
      </c>
      <c r="T12" s="25">
        <v>0</v>
      </c>
      <c r="U12" s="25">
        <v>27450</v>
      </c>
      <c r="V12" s="25">
        <v>68</v>
      </c>
      <c r="W12" s="18">
        <v>0</v>
      </c>
      <c r="X12" s="13">
        <v>0</v>
      </c>
      <c r="Y12" s="13">
        <f t="shared" ref="Y12:Y14" si="0">X12*5%</f>
        <v>0</v>
      </c>
      <c r="Z12" s="13"/>
      <c r="AA12" s="27"/>
    </row>
    <row r="13" spans="2:27" s="14" customFormat="1">
      <c r="B13" s="11">
        <v>3</v>
      </c>
      <c r="C13" s="12" t="s">
        <v>697</v>
      </c>
      <c r="D13" s="12" t="s">
        <v>698</v>
      </c>
      <c r="E13" s="12" t="s">
        <v>699</v>
      </c>
      <c r="F13" s="12" t="s">
        <v>700</v>
      </c>
      <c r="G13" s="11">
        <v>2024</v>
      </c>
      <c r="H13" s="16">
        <v>45560</v>
      </c>
      <c r="I13" s="16">
        <v>45925</v>
      </c>
      <c r="J13" s="11" t="s">
        <v>464</v>
      </c>
      <c r="K13" s="12" t="s">
        <v>464</v>
      </c>
      <c r="L13" s="16">
        <v>45748</v>
      </c>
      <c r="M13" s="12" t="s">
        <v>87</v>
      </c>
      <c r="N13" s="11" t="s">
        <v>41</v>
      </c>
      <c r="O13" s="25">
        <v>720000</v>
      </c>
      <c r="P13" s="2">
        <v>10</v>
      </c>
      <c r="Q13" s="25">
        <v>72000</v>
      </c>
      <c r="R13" s="25">
        <v>43200</v>
      </c>
      <c r="S13" s="25">
        <v>0</v>
      </c>
      <c r="T13" s="25">
        <v>15750</v>
      </c>
      <c r="U13" s="25">
        <v>13050</v>
      </c>
      <c r="V13" s="25">
        <v>0</v>
      </c>
      <c r="W13" s="18">
        <v>788</v>
      </c>
      <c r="X13" s="13">
        <v>0</v>
      </c>
      <c r="Y13" s="13">
        <f t="shared" si="0"/>
        <v>0</v>
      </c>
      <c r="Z13" s="13"/>
      <c r="AA13" s="27"/>
    </row>
    <row r="14" spans="2:27" s="14" customFormat="1">
      <c r="B14" s="11">
        <v>4</v>
      </c>
      <c r="C14" s="12" t="s">
        <v>701</v>
      </c>
      <c r="D14" s="12" t="s">
        <v>698</v>
      </c>
      <c r="E14" s="12" t="s">
        <v>699</v>
      </c>
      <c r="F14" s="12" t="s">
        <v>700</v>
      </c>
      <c r="G14" s="11">
        <v>2024</v>
      </c>
      <c r="H14" s="16">
        <v>45560</v>
      </c>
      <c r="I14" s="16">
        <v>45925</v>
      </c>
      <c r="J14" s="11" t="s">
        <v>464</v>
      </c>
      <c r="K14" s="12" t="s">
        <v>464</v>
      </c>
      <c r="L14" s="16">
        <v>45774</v>
      </c>
      <c r="M14" s="12" t="s">
        <v>87</v>
      </c>
      <c r="N14" s="11" t="s">
        <v>41</v>
      </c>
      <c r="O14" s="25">
        <v>720000</v>
      </c>
      <c r="P14" s="2">
        <v>10</v>
      </c>
      <c r="Q14" s="25">
        <v>72000</v>
      </c>
      <c r="R14" s="25">
        <v>43200</v>
      </c>
      <c r="S14" s="25">
        <v>0</v>
      </c>
      <c r="T14" s="25">
        <v>2250</v>
      </c>
      <c r="U14" s="25">
        <v>26550</v>
      </c>
      <c r="V14" s="25">
        <v>0</v>
      </c>
      <c r="W14" s="18">
        <v>112</v>
      </c>
      <c r="X14" s="13">
        <v>0</v>
      </c>
      <c r="Y14" s="13">
        <f t="shared" si="0"/>
        <v>0</v>
      </c>
      <c r="Z14" s="13"/>
      <c r="AA14" s="27"/>
    </row>
    <row r="16" spans="2:27">
      <c r="V16" s="17">
        <f>SUBTOTAL(9,V11:V14)</f>
        <v>540</v>
      </c>
      <c r="W16" s="17">
        <f>SUBTOTAL(9,W11:W14)</f>
        <v>900</v>
      </c>
      <c r="X16" s="19"/>
    </row>
    <row r="17" spans="12:23">
      <c r="W17" s="19"/>
    </row>
    <row r="26" spans="12:23">
      <c r="L26"/>
      <c r="N26"/>
    </row>
    <row r="27" spans="12:23">
      <c r="L27"/>
      <c r="N27"/>
    </row>
    <row r="28" spans="12:23">
      <c r="L28"/>
      <c r="N28"/>
    </row>
    <row r="29" spans="12:23">
      <c r="L29"/>
      <c r="N29"/>
    </row>
    <row r="30" spans="12:23">
      <c r="L30"/>
      <c r="N30"/>
    </row>
    <row r="31" spans="12:23">
      <c r="L31"/>
      <c r="N31"/>
    </row>
    <row r="32" spans="12:23">
      <c r="L32"/>
      <c r="N32"/>
    </row>
  </sheetData>
  <autoFilter ref="B10:Z14" xr:uid="{00000000-0001-0000-0100-000000000000}"/>
  <mergeCells count="20">
    <mergeCell ref="N9:N10"/>
    <mergeCell ref="B9:B10"/>
    <mergeCell ref="C9:C10"/>
    <mergeCell ref="D9:D10"/>
    <mergeCell ref="E9:E10"/>
    <mergeCell ref="F9:F10"/>
    <mergeCell ref="G9:G10"/>
    <mergeCell ref="H9:I9"/>
    <mergeCell ref="J9:J10"/>
    <mergeCell ref="K9:K10"/>
    <mergeCell ref="L9:L10"/>
    <mergeCell ref="M9:M10"/>
    <mergeCell ref="Z9:Z10"/>
    <mergeCell ref="O9:O10"/>
    <mergeCell ref="P9:Q9"/>
    <mergeCell ref="R9:U9"/>
    <mergeCell ref="W9:W10"/>
    <mergeCell ref="X9:X10"/>
    <mergeCell ref="Y9:Y10"/>
    <mergeCell ref="V9:V1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3D786B0614B1F4F9F8564EF69544848" ma:contentTypeVersion="8" ma:contentTypeDescription="Create a new document." ma:contentTypeScope="" ma:versionID="ad4b82c58223210935887040d70558e9">
  <xsd:schema xmlns:xsd="http://www.w3.org/2001/XMLSchema" xmlns:xs="http://www.w3.org/2001/XMLSchema" xmlns:p="http://schemas.microsoft.com/office/2006/metadata/properties" xmlns:ns2="f29f88f8-452b-43ad-84c8-7572ff3b30cb" xmlns:ns3="876338cf-5b40-43a1-a3e7-9653ba32d523" targetNamespace="http://schemas.microsoft.com/office/2006/metadata/properties" ma:root="true" ma:fieldsID="8cdbab431475483a6e22c3e3bea3f67c" ns2:_="" ns3:_="">
    <xsd:import namespace="f29f88f8-452b-43ad-84c8-7572ff3b30cb"/>
    <xsd:import namespace="876338cf-5b40-43a1-a3e7-9653ba32d52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9f88f8-452b-43ad-84c8-7572ff3b3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17c8f3e-8e5c-42b6-ba9d-78fb99a7828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6338cf-5b40-43a1-a3e7-9653ba32d52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e4d866a-282e-4cae-8002-c70ced30b52c}" ma:internalName="TaxCatchAll" ma:showField="CatchAllData" ma:web="876338cf-5b40-43a1-a3e7-9653ba32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1E8AAA-E4F9-45FB-A0F0-75A1D1AFF45E}"/>
</file>

<file path=customXml/itemProps2.xml><?xml version="1.0" encoding="utf-8"?>
<ds:datastoreItem xmlns:ds="http://schemas.openxmlformats.org/officeDocument/2006/customXml" ds:itemID="{38FC766F-3639-4015-AB06-5290BFA1C0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Aryudho Mahardi Setianto</dc:creator>
  <cp:keywords/>
  <dc:description/>
  <cp:lastModifiedBy>Ganda Irza Harun Bustomi</cp:lastModifiedBy>
  <cp:revision/>
  <dcterms:created xsi:type="dcterms:W3CDTF">2023-01-25T07:40:16Z</dcterms:created>
  <dcterms:modified xsi:type="dcterms:W3CDTF">2025-10-30T16:44:29Z</dcterms:modified>
  <cp:category/>
  <cp:contentStatus/>
</cp:coreProperties>
</file>