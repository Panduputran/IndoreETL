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04"/>
  <workbookPr/>
  <mc:AlternateContent xmlns:mc="http://schemas.openxmlformats.org/markup-compatibility/2006">
    <mc:Choice Requires="x15">
      <x15ac:absPath xmlns:x15ac="http://schemas.microsoft.com/office/spreadsheetml/2010/11/ac" url="C:\Users\john\Downloads\"/>
    </mc:Choice>
  </mc:AlternateContent>
  <xr:revisionPtr revIDLastSave="3" documentId="13_ncr:1_{89732A81-C35D-42C9-A99C-C0DDAB14CCB7}" xr6:coauthVersionLast="47" xr6:coauthVersionMax="47" xr10:uidLastSave="{38FA7951-70C8-43B1-941A-FF34EE6FE6E2}"/>
  <bookViews>
    <workbookView xWindow="-110" yWindow="-110" windowWidth="19420" windowHeight="11500" tabRatio="838" xr2:uid="{00000000-000D-0000-FFFF-FFFF00000000}"/>
  </bookViews>
  <sheets>
    <sheet name="MARSH - FIRE" sheetId="3" r:id="rId1"/>
  </sheets>
  <definedNames>
    <definedName name="_xlnm._FilterDatabase" localSheetId="0" hidden="1">'MARSH - FIRE'!$B$10:$Z$180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80" i="3" l="1"/>
  <c r="Y179" i="3"/>
  <c r="Y178" i="3"/>
  <c r="Y177" i="3"/>
  <c r="Y176" i="3"/>
  <c r="Y175" i="3"/>
  <c r="Y174" i="3"/>
  <c r="Y173" i="3"/>
  <c r="Y170" i="3"/>
  <c r="Y169" i="3"/>
  <c r="Y168" i="3"/>
  <c r="Y167" i="3"/>
  <c r="Y166" i="3"/>
  <c r="Y165" i="3"/>
  <c r="Y164" i="3"/>
  <c r="Y161" i="3"/>
  <c r="Y160" i="3"/>
  <c r="Y159" i="3"/>
  <c r="Y158" i="3"/>
  <c r="Y157" i="3"/>
  <c r="Y156" i="3"/>
  <c r="Y149" i="3"/>
  <c r="Y148" i="3"/>
  <c r="Y142" i="3"/>
  <c r="Y141" i="3"/>
  <c r="Y138" i="3"/>
  <c r="Y137" i="3"/>
  <c r="Y136" i="3"/>
  <c r="Y135" i="3"/>
  <c r="Y134" i="3"/>
  <c r="Y133" i="3"/>
  <c r="Y132" i="3"/>
  <c r="Y131" i="3"/>
  <c r="Y129" i="3"/>
  <c r="Y128" i="3"/>
  <c r="Y119" i="3"/>
  <c r="Y118" i="3"/>
  <c r="Y101" i="3"/>
  <c r="Y100" i="3"/>
  <c r="Y99" i="3"/>
  <c r="Y98" i="3"/>
  <c r="Y97" i="3"/>
  <c r="Y96" i="3"/>
  <c r="Y95" i="3"/>
  <c r="Y92" i="3"/>
  <c r="Y91" i="3"/>
  <c r="Y90" i="3"/>
  <c r="Y87" i="3"/>
  <c r="Y86" i="3"/>
  <c r="Y51" i="3"/>
  <c r="Y46" i="3"/>
  <c r="Y40" i="3"/>
  <c r="Y39" i="3"/>
  <c r="Y29" i="3"/>
  <c r="Y28" i="3"/>
  <c r="Y27" i="3"/>
  <c r="Y26" i="3"/>
  <c r="Y24" i="3"/>
  <c r="Y23" i="3"/>
  <c r="Y22" i="3"/>
  <c r="Y21" i="3"/>
  <c r="Y20" i="3"/>
  <c r="Y19" i="3"/>
  <c r="Y17" i="3"/>
  <c r="Y14" i="3"/>
  <c r="Y172" i="3"/>
  <c r="Y171" i="3"/>
  <c r="Y163" i="3"/>
  <c r="Y162" i="3"/>
  <c r="Y155" i="3"/>
  <c r="Y154" i="3"/>
  <c r="Y153" i="3"/>
  <c r="Y152" i="3"/>
  <c r="Y147" i="3"/>
  <c r="Y146" i="3"/>
  <c r="Y140" i="3"/>
  <c r="Y139" i="3"/>
  <c r="Y130" i="3"/>
  <c r="Y127" i="3"/>
  <c r="Y126" i="3"/>
  <c r="Y125" i="3"/>
  <c r="Y124" i="3"/>
  <c r="Y123" i="3"/>
  <c r="Y122" i="3"/>
  <c r="Y121" i="3"/>
  <c r="Y120" i="3"/>
  <c r="Y117" i="3"/>
  <c r="Y116" i="3"/>
  <c r="Y115" i="3"/>
  <c r="Y114" i="3"/>
  <c r="Y112" i="3"/>
  <c r="Y111" i="3"/>
  <c r="Y108" i="3"/>
  <c r="Y107" i="3"/>
  <c r="Y106" i="3"/>
  <c r="Y94" i="3"/>
  <c r="Y93" i="3"/>
  <c r="Y78" i="3"/>
  <c r="Y77" i="3"/>
  <c r="Y76" i="3"/>
  <c r="Y75" i="3"/>
  <c r="Y74" i="3"/>
  <c r="Y73" i="3"/>
  <c r="Y72" i="3"/>
  <c r="Y71" i="3"/>
  <c r="Y70" i="3"/>
  <c r="Y69" i="3"/>
  <c r="Y68" i="3"/>
  <c r="Y67" i="3"/>
  <c r="Y66" i="3"/>
  <c r="Y65" i="3"/>
  <c r="Y64" i="3"/>
  <c r="Y63" i="3"/>
  <c r="Y62" i="3"/>
  <c r="Y50" i="3"/>
  <c r="Y49" i="3"/>
  <c r="Y48" i="3"/>
  <c r="Y47" i="3"/>
  <c r="Y45" i="3"/>
  <c r="Y44" i="3"/>
  <c r="Y43" i="3"/>
  <c r="Y42" i="3"/>
  <c r="Y41" i="3"/>
  <c r="Y38" i="3"/>
  <c r="Y37" i="3"/>
  <c r="Y36" i="3"/>
  <c r="Y35" i="3"/>
  <c r="Y34" i="3"/>
  <c r="Y18" i="3"/>
  <c r="Y151" i="3"/>
  <c r="Y150" i="3"/>
  <c r="Y145" i="3"/>
  <c r="Y144" i="3"/>
  <c r="Y143" i="3"/>
  <c r="Y113" i="3"/>
  <c r="Y110" i="3"/>
  <c r="Y109" i="3"/>
  <c r="Y105" i="3"/>
  <c r="Y104" i="3"/>
  <c r="Y103" i="3"/>
  <c r="Y102" i="3"/>
  <c r="Y89" i="3"/>
  <c r="Y88" i="3"/>
  <c r="Y85" i="3"/>
  <c r="Y84" i="3"/>
  <c r="Y83" i="3"/>
  <c r="Y82" i="3"/>
  <c r="Y81" i="3"/>
  <c r="Y80" i="3"/>
  <c r="Y79" i="3"/>
  <c r="Y61" i="3"/>
  <c r="Y60" i="3"/>
  <c r="Y59" i="3"/>
  <c r="Y58" i="3"/>
  <c r="Y57" i="3"/>
  <c r="Y56" i="3"/>
  <c r="Y55" i="3"/>
  <c r="Y54" i="3"/>
  <c r="Y53" i="3"/>
  <c r="Y52" i="3"/>
  <c r="Y33" i="3"/>
  <c r="Y32" i="3"/>
  <c r="Y31" i="3"/>
  <c r="Y30" i="3"/>
  <c r="Y25" i="3"/>
  <c r="Y16" i="3"/>
  <c r="Y15" i="3"/>
  <c r="W182" i="3" l="1"/>
  <c r="Y13" i="3"/>
  <c r="Y12" i="3"/>
  <c r="V182" i="3" l="1"/>
  <c r="Y11" i="3" l="1"/>
</calcChain>
</file>

<file path=xl/sharedStrings.xml><?xml version="1.0" encoding="utf-8"?>
<sst xmlns="http://schemas.openxmlformats.org/spreadsheetml/2006/main" count="1226" uniqueCount="479">
  <si>
    <t>CLAIMS BORDEREAUX REPORT</t>
  </si>
  <si>
    <t>Reinsured:</t>
  </si>
  <si>
    <t>PT Asuransi Tri Pakarta</t>
  </si>
  <si>
    <t>Treaty Name:</t>
  </si>
  <si>
    <t>Fire Quota Share Surplus</t>
  </si>
  <si>
    <t>Period:</t>
  </si>
  <si>
    <t>1 Oktober 2025 - 31 Desember 2025</t>
  </si>
  <si>
    <t>No</t>
  </si>
  <si>
    <t>REGISTER NO.</t>
  </si>
  <si>
    <t>POLICY NUMBER</t>
  </si>
  <si>
    <t>INSURED NAME</t>
  </si>
  <si>
    <t>COB</t>
  </si>
  <si>
    <t>UW YEAR</t>
  </si>
  <si>
    <t>PERIOD OF INSURANCE</t>
  </si>
  <si>
    <t>OCCUPATION CODE</t>
  </si>
  <si>
    <t>OCCUPATION</t>
  </si>
  <si>
    <t>DOL</t>
  </si>
  <si>
    <t>SOURCE (DIRECT/COINS/INWARD FAC.)</t>
  </si>
  <si>
    <t>CURR</t>
  </si>
  <si>
    <t>CLAIM 100%</t>
  </si>
  <si>
    <t>CEDANT'S SHARE</t>
  </si>
  <si>
    <t>SPREADING OF CLAIM</t>
  </si>
  <si>
    <t>Claim Quota Share
(Marsh Re Share)</t>
  </si>
  <si>
    <t>Claim Surplus
(Marsh Re Share)</t>
  </si>
  <si>
    <t>Outstanding Claims 100%</t>
  </si>
  <si>
    <t>Outstanding Claims 
(Marsh Re Share)</t>
  </si>
  <si>
    <t>NOTE</t>
  </si>
  <si>
    <t>START</t>
  </si>
  <si>
    <t>END</t>
  </si>
  <si>
    <t>%</t>
  </si>
  <si>
    <t>IN AMOUNT</t>
  </si>
  <si>
    <t>OR</t>
  </si>
  <si>
    <t>QS</t>
  </si>
  <si>
    <t>SURPLUS</t>
  </si>
  <si>
    <t>OTHERS</t>
  </si>
  <si>
    <t>0101042500096</t>
  </si>
  <si>
    <t>40101042400022</t>
  </si>
  <si>
    <t>DJARUM GROUP including any subsidiary and/or related company of the unnamed of this existing at the commencement of this insurance or formade, purchased or otherwise acquired during the currency of the policy for their respective rights and interest.</t>
  </si>
  <si>
    <t>FIRE</t>
  </si>
  <si>
    <t>Private Warehouses</t>
  </si>
  <si>
    <t>INWARD FACULTATIVE</t>
  </si>
  <si>
    <t>IDR</t>
  </si>
  <si>
    <t>0201042500005</t>
  </si>
  <si>
    <t>30201042400035</t>
  </si>
  <si>
    <t>PT HOTEL INDONESIA PROPERTY</t>
  </si>
  <si>
    <t>Hotels, Motels, Inns and the like (as 3 stars or higher)</t>
  </si>
  <si>
    <t>COINSURANCE MEMBER</t>
  </si>
  <si>
    <t>0201042500006</t>
  </si>
  <si>
    <t>20201042500001</t>
  </si>
  <si>
    <t>CV SUHO GARMINDO and/or Subsidiary associated or affiliated companies and any other companies owned, operated, managed or controlled by the principal insured for their respective right and interest</t>
  </si>
  <si>
    <t>GARMENT FACTORIES</t>
  </si>
  <si>
    <t>COINSURANCE LEADER</t>
  </si>
  <si>
    <t>0201212500002</t>
  </si>
  <si>
    <t>10201212307795</t>
  </si>
  <si>
    <t>BANK NEGARA INDONESIA (PERSERO) TBK. KANTOR CABANG PEMBANTU (KCP) PASAR KOJA QQ EHA JULAEHA</t>
  </si>
  <si>
    <t>TEMPAT PERDAGANGAN BIJI KOPI / PENGOLAHAN BIJI KOPI</t>
  </si>
  <si>
    <t>DIRECT INSURANCE</t>
  </si>
  <si>
    <t>0301042500132</t>
  </si>
  <si>
    <t>30301042400234</t>
  </si>
  <si>
    <t>PT JAPFA COMFEED INDONESIA TBK - LAMPUNG FEED</t>
  </si>
  <si>
    <t>Fodder Mills</t>
  </si>
  <si>
    <t>0301042500142</t>
  </si>
  <si>
    <t>30301042400141</t>
  </si>
  <si>
    <t>PT JAPFA COMFEED INDONESIA TBK DIVISI FEED MAKASSAR</t>
  </si>
  <si>
    <t>0301042500143</t>
  </si>
  <si>
    <t>30301042500191</t>
  </si>
  <si>
    <t>PT BANK CTBC INDONESIA QQ PT PEI HAI INTERNATIONAL WIRATAMA INDONESIA</t>
  </si>
  <si>
    <t>SHOES FACTORIES</t>
  </si>
  <si>
    <t>0301052400005</t>
  </si>
  <si>
    <t>20301052400004</t>
  </si>
  <si>
    <t>PT GEMA LESTARI INDONESIA</t>
  </si>
  <si>
    <t>Manufacture of plywood (triplex, multiplex) and veneer and blacboard, laminboard, fancy flooring and other related product provided carried out in the same (plywood) manucture building using formaldehyde synthetic resin adhesive and/or sales activities and/or operation activities and/or others related to the insured business.</t>
  </si>
  <si>
    <t>0301052500001</t>
  </si>
  <si>
    <t>30301052500029</t>
  </si>
  <si>
    <t>LANGGENG MAKMUR BERSAMA</t>
  </si>
  <si>
    <t>0301212500001</t>
  </si>
  <si>
    <t>10301212400267</t>
  </si>
  <si>
    <t>BANK NEGARA INDONESIA (PERSERO) TBK KANTOR CABANG JOMBANG QQ GALANG BAGUS SUHADAK</t>
  </si>
  <si>
    <t>PETERNAKAN AYAM</t>
  </si>
  <si>
    <t>0301362500001</t>
  </si>
  <si>
    <t>10301362400210</t>
  </si>
  <si>
    <t>PT BANK NEGARA INDONESIA (PERSERO) TBK KANTOR CABANG PEMBANTU TROPODO QQ WARIS</t>
  </si>
  <si>
    <t>TOKO / RUMAH TINGGAL</t>
  </si>
  <si>
    <t>0301362500002</t>
  </si>
  <si>
    <t>10301362501248</t>
  </si>
  <si>
    <t>PT BANK NEGARA INDONESIA (PERSERO) TBK KANTOR CABANG PEMBANTU PUCANG ANOM QQ TUTIK HANDAYANI</t>
  </si>
  <si>
    <t>TOKO / USAHA DEPO AIR ISI ULANG / RUMAH TINGGAL</t>
  </si>
  <si>
    <t>0401052500002</t>
  </si>
  <si>
    <t>10401052500023</t>
  </si>
  <si>
    <t>PT BANK NEGARA INDONESIA (PERSERO) TBK KANTOR CABANG UTAMA (KCU) KUDUS QQ PT JAVA METE INDONESIA</t>
  </si>
  <si>
    <t>CASHEWNUT FACTORY</t>
  </si>
  <si>
    <t>0401212500002</t>
  </si>
  <si>
    <t>10401212302015</t>
  </si>
  <si>
    <t>BANK NEGARA INDONESIA (PERSERO) TBK KANTOR CABANG JEPARA QQ ETI SUSANTI</t>
  </si>
  <si>
    <t>Furniture manufacture, cabinet makers, wooden boat builders, bamboo, rattan and wooden carvings and handicrafts</t>
  </si>
  <si>
    <t>0501042400001</t>
  </si>
  <si>
    <t>10501042300008</t>
  </si>
  <si>
    <t>PT BANK NEGARA INDONESIA (PERSERO) TBK JAKARTA DIVISI KORPORASI 2 QQ PT MULTI TRADING PRATAMA</t>
  </si>
  <si>
    <t>BANGUNAN STORAGE TANK, MESIN, INSTALASI, ELECTRICAL, PIPPING, SOFTWARE, BANGUNAN KANTOR, INVENTARIS DAN FURNITURE</t>
  </si>
  <si>
    <t>0501362500005</t>
  </si>
  <si>
    <t>10501362208283</t>
  </si>
  <si>
    <t>PT BANK NEGARA INDONESIA (PERSERO) TBK KANTOR CABANG BAU-BAU (KCP RAHA) QQ LA RAMIN</t>
  </si>
  <si>
    <t>GUDANG / RUMAH TINGGAL</t>
  </si>
  <si>
    <t>0601042500002</t>
  </si>
  <si>
    <t>30601042500024</t>
  </si>
  <si>
    <t>PT SURYA DUMAI AGRINDO</t>
  </si>
  <si>
    <t>0601042500006</t>
  </si>
  <si>
    <t>30601042500017</t>
  </si>
  <si>
    <t>PT CILIANDRA PERKASA</t>
  </si>
  <si>
    <t>0701042300105</t>
  </si>
  <si>
    <t>30701042300300</t>
  </si>
  <si>
    <t>PT CEMINDO GEMILANG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PT CEMINDO GEMILANG accepted obligation to insure</t>
  </si>
  <si>
    <t>Cement Factory + Jetty and all other activities idental thereto and/or all other occupation in which the Insured may become engaded</t>
  </si>
  <si>
    <t>0701042400024</t>
  </si>
  <si>
    <t>30701042300213</t>
  </si>
  <si>
    <t>PT KINO INDONESIA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the insured above accepted obligation to insure.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the insured above accepted obligation to insure.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the insured above accepted obligation to insure.</t>
  </si>
  <si>
    <t>Pharmaceutical Factory</t>
  </si>
  <si>
    <t>0701042400075</t>
  </si>
  <si>
    <t>30701042300356</t>
  </si>
  <si>
    <t>PT SANTOS JAYA ABADI AND/OR SUBSIDIARY AND/OR AFFILIATED AND/OR INTER-RELATED COMPANIES FOR THEIR RESPECTIVE RIGHTS AND INTERESTS.</t>
  </si>
  <si>
    <t>Coffee Roasting Plants &amp; Other Roasting Plants, etc.</t>
  </si>
  <si>
    <t>0701042400228</t>
  </si>
  <si>
    <t>30701042300355</t>
  </si>
  <si>
    <t>PT. GRAHA ALAM LESTARI and/or HOTEL THE APURVA KEMPINSKI BALI (WINGS GROUP)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PT. GRAHA ALAM LESTARI and/or HOTEL THE APURVA KEMPINSKI BALI (WINGS GROUP) accepted obligation to insure</t>
  </si>
  <si>
    <t>Hotel certified as 3 star and above and all other activities  incidental thereto and/or all other occupation in which the Insured  may become engaged</t>
  </si>
  <si>
    <t>0701042400239</t>
  </si>
  <si>
    <t>30701042400318</t>
  </si>
  <si>
    <t>PT SANTOS JAYA ABADI AND/OR SUBSIDIARY AND/OR AFFILIATED AND/OR INTER-RELATED COMPANIES FOR THEIR RESPECTIVE RIGHTS AND INTEREST</t>
  </si>
  <si>
    <t>0701042400240</t>
  </si>
  <si>
    <t>0701042500023</t>
  </si>
  <si>
    <t>0701042500052</t>
  </si>
  <si>
    <t>0701042500053</t>
  </si>
  <si>
    <t>30701042500038</t>
  </si>
  <si>
    <t xml:space="preserve">PT GLICO WINGS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the above Insured accepted obligation to insure. </t>
  </si>
  <si>
    <t>Ice Cream Manufacture - Dairies and Dairy Products</t>
  </si>
  <si>
    <t>0701042500076</t>
  </si>
  <si>
    <t>30701042500114</t>
  </si>
  <si>
    <t>PT TRIAS SENTOSA TBK including any subsidiary and/or related company of the unnamed of this existing at the commencement of this insurance or formed, purchased or otherwise acquired during the currency of the Policy for their respective rights and interests. It is also agreed and declared that the named Insured includes the interest of any joint venture where PT TRIAS SENTOSA TBK accepted obligation to insure</t>
  </si>
  <si>
    <t>Manufacture of Plastics Film and/or Private Warehouse and/or Office and all other activities incidental thereto and/or all other occupation in which the Insured may become engaged</t>
  </si>
  <si>
    <t>USD</t>
  </si>
  <si>
    <t>0701042500229</t>
  </si>
  <si>
    <t>30701042400376</t>
  </si>
  <si>
    <t>PT. GRAHA ALAM LESTARI and/or HOTEL THE APURVA KEMPINSKI BALI (WINGS GROUP)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PT. GRAHA ALAM LESTARI and/or HOTEL THE APURVA KEMPINSKI BALI (WINGS GROUP) accepted obligation to insure.</t>
  </si>
  <si>
    <t>Hotel certified as 3 star and above and all other activities incidental thereto and/or all other occupation in which the Insured may become engaged</t>
  </si>
  <si>
    <t>0701042500231</t>
  </si>
  <si>
    <t>30701042400385</t>
  </si>
  <si>
    <t>PT. BANK MANDIRI (PERSERO), Tbk QQ PT. BUDI TEXINDO PRAKARSA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PT. BANK MANDIRI (PERSERO), TBK QQ PT. BUDI TEXINDO PRAKARSA accepted obligation to insure.</t>
  </si>
  <si>
    <t>2402/Spinning Mills, Pre-spinning: Vegetable and Cellulose Fibres and/or Private Warehouse and/or Office and all other activities incidental thereto and/or all other occupation in which the Insured may become engaged.</t>
  </si>
  <si>
    <t>0701042500258</t>
  </si>
  <si>
    <t>0701042500259</t>
  </si>
  <si>
    <t>0701042500283</t>
  </si>
  <si>
    <t>30701042400402</t>
  </si>
  <si>
    <t>PT ABADI AGROSINDO PERSADA including any subsidiary and/or other company and/or related company, existing at the commencement of this insurance of formed, purchased or otherwise acquired during the currency of the policy for</t>
  </si>
  <si>
    <t>Fertilizer Plant/Warehouse and All others facilities related thereto.</t>
  </si>
  <si>
    <t>0701042500311</t>
  </si>
  <si>
    <t>30701042500316</t>
  </si>
  <si>
    <t xml:space="preserve">PERHIMPUNAN PEMILIK DAN PENGHUNI SATUAN RUMAH SUSUN KOMERSIAL BUKAN HUNIAN (SEMENTARA) SPAZIO QQ BADAN KERJASAMA INTILAND STARLIGHT and/or subsidiary and/or affiliated and/or inter-related companies for their respective rights and interest  </t>
  </si>
  <si>
    <t>Apartments / Condominiums, Offices, Multi-Storeyed Car Parks exceeding 6 storeys up to 18 storeys above ground level</t>
  </si>
  <si>
    <t>0701042500317</t>
  </si>
  <si>
    <t>30701042500110</t>
  </si>
  <si>
    <t xml:space="preserve">PT ANEKA MITRA GEMILANG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the above Insured accepted obligation to insure. </t>
  </si>
  <si>
    <t>Sanitary Napkin Factory (Diapers) - Cartoon and paper goods factories, bookbinders - mixed</t>
  </si>
  <si>
    <t>0701042500334</t>
  </si>
  <si>
    <t>0701042500335</t>
  </si>
  <si>
    <t>0701042500336</t>
  </si>
  <si>
    <t>0701042500367</t>
  </si>
  <si>
    <t>30701042500364</t>
  </si>
  <si>
    <t>PT. SUPERNOVA FLEXIBLE PACKAGING QQ PT. SUPERNOVA and/or all subsidiary, and/or affiliated and/or associated companies and/or corporations as now exist and/or may hereafter be constituted and/or or acquired including their interest as may appear in partnership and/or joint ventures for their respective rights and interest and in addition, financial institutions which hold and/or may hold vested interest in the property insured, for their respective rights and interest.</t>
  </si>
  <si>
    <t>Dwelling House (Mess)</t>
  </si>
  <si>
    <t>0701042500368</t>
  </si>
  <si>
    <t>30701042400160</t>
  </si>
  <si>
    <t>PT. BANK RAKYAT INDONESIA (PERSERO) TBK, PROCUREMENT LOGISTIC  POLICY &amp; FIXED ASSET MANAGEMENT DIVISION (PLM) and/or for their respective rights and interest</t>
  </si>
  <si>
    <t>Apartments/ condominiums, offices, multi-storeyed car parks not exceeding 6 storeys above ground level</t>
  </si>
  <si>
    <t>0701042500369</t>
  </si>
  <si>
    <t>0701042500371</t>
  </si>
  <si>
    <t>0701042500372</t>
  </si>
  <si>
    <t>0701042500373</t>
  </si>
  <si>
    <t>0701042500374</t>
  </si>
  <si>
    <t>0701042500375</t>
  </si>
  <si>
    <t>0701042500376</t>
  </si>
  <si>
    <t>0701042500377</t>
  </si>
  <si>
    <t>0701042500378</t>
  </si>
  <si>
    <t>0701042500386</t>
  </si>
  <si>
    <t>30701042500130</t>
  </si>
  <si>
    <t>0701042500388</t>
  </si>
  <si>
    <t>0701042500390</t>
  </si>
  <si>
    <t>0701042500391</t>
  </si>
  <si>
    <t>0701042500392</t>
  </si>
  <si>
    <t>0701042500438</t>
  </si>
  <si>
    <t>0701042500571</t>
  </si>
  <si>
    <t>0701042500579</t>
  </si>
  <si>
    <t>0701042500580</t>
  </si>
  <si>
    <t>0701042500581</t>
  </si>
  <si>
    <t>0701042500582</t>
  </si>
  <si>
    <t>0701042500583</t>
  </si>
  <si>
    <t>0701042500609</t>
  </si>
  <si>
    <t>0701042500613</t>
  </si>
  <si>
    <t>0701042500614</t>
  </si>
  <si>
    <t>0701042500615</t>
  </si>
  <si>
    <t>0701042500617</t>
  </si>
  <si>
    <t>0701042500621</t>
  </si>
  <si>
    <t>0701042500622</t>
  </si>
  <si>
    <t>0701042500623</t>
  </si>
  <si>
    <t>0701042500624</t>
  </si>
  <si>
    <t>0701042500625</t>
  </si>
  <si>
    <t>0701052400006</t>
  </si>
  <si>
    <t>30701052300035</t>
  </si>
  <si>
    <t>PT AVIA  AVIAN And/or subsidiary and/or affiliated and/or inter-related companies for their respective rights and interests.</t>
  </si>
  <si>
    <t>PAINT &amp; VARNISH SOLVENT BASE PRODUCT</t>
  </si>
  <si>
    <t>0701112500007</t>
  </si>
  <si>
    <t>30701112500002</t>
  </si>
  <si>
    <t>PT. BANK PERMATA Tbk., QQ. PT. PUTRA MUDA BROTHERS QQ PT. DHARMASRAYA PALMA SEJAHTERA including any subsidiary and/or related company of the unnamed of this existing at the commencement of this insurance or formed, purchased or otherwise acquired during the currency of the Policy for their respective rights and interest.  It is also agreed and declared that the named Insured includes the interest of any joint venture where PT. BANK PERMATA Tbk., QQ. PT. PUTRA MUDA BROTHERS QQ. PT. DHARMASRAYA PALMA SEJAHTERA accepted obligation to insure.</t>
  </si>
  <si>
    <t>Tanaman Kelapa Sawit and all other activities incidental thereto and/or all other occupation in which the insured may become engaged.</t>
  </si>
  <si>
    <t>0701212500002</t>
  </si>
  <si>
    <t>30701212500022</t>
  </si>
  <si>
    <t>PT BANK TABUNGAN NEGARA (PERSERO) TBK KC SOLO QQ DITTO PRASETYO</t>
  </si>
  <si>
    <t>0701242400100</t>
  </si>
  <si>
    <t>10701242200038</t>
  </si>
  <si>
    <t>PT BANK NEGARA INDONESIA (PERSERO) TBK DIVISI PROCUREMENT &amp; FIXED ASSETS  - WILAYAH 05 - SEMARANG - CABANG SEMARANG and/or subsidiary and/or inter related companies and/or management for their respective rights and interest</t>
  </si>
  <si>
    <t>Office Building and / or Dwelling House and / or Warehouse and / or Guest house and / or school and / or Sport Center/ Training Center /  /  ATM &amp; CDM Machines / ATM Room / DRC &amp; DDC / all the BNI belongs  etc</t>
  </si>
  <si>
    <t>0701242400219</t>
  </si>
  <si>
    <t>PT BANK NEGARA INDONESIA (PERSERO) TBK DIVISI PROCUREMENT &amp; FIXED ASSETS  - WILAYAH 03 - PALEMBANG - TANJUNG KARANG and/or subsidiary and/or inter related companies and/or management for their respective rights and interest</t>
  </si>
  <si>
    <t>0701242500203</t>
  </si>
  <si>
    <t>10701242400004</t>
  </si>
  <si>
    <t>PT BANK NEGARA INDONESIA (PERSERO) TBK DIVISI PROCUREMENT &amp; FIXED ASSETS  - WILAYAH 03 - PALEMBANG - VARIOUS</t>
  </si>
  <si>
    <t>KANTOR</t>
  </si>
  <si>
    <t>0701242500236</t>
  </si>
  <si>
    <t>PT BANK NEGARA INDONESIA (PERSERO) TBK DIVISI PROCUREMENT &amp; FIXED ASSETS  - WILAYAH 17 - YOGYAKARTA - VARIOUS</t>
  </si>
  <si>
    <t>0701242500443</t>
  </si>
  <si>
    <t>0708032500005</t>
  </si>
  <si>
    <t>0801042400013</t>
  </si>
  <si>
    <t>20801042400004</t>
  </si>
  <si>
    <t>PT GRAHA KARTIKA ANUGERAH</t>
  </si>
  <si>
    <t>HOTEL</t>
  </si>
  <si>
    <t>0801042500007</t>
  </si>
  <si>
    <t>30801042500004</t>
  </si>
  <si>
    <t>PT. ESR INDONESIA PROPERTIES THREE</t>
  </si>
  <si>
    <t>PRIVATE WAREHOUSE</t>
  </si>
  <si>
    <t>0801042500008</t>
  </si>
  <si>
    <t>10801042500150</t>
  </si>
  <si>
    <t>IBU BAIQ ADNIN SERINATA</t>
  </si>
  <si>
    <t>SEKOLAH</t>
  </si>
  <si>
    <t>0801042500009</t>
  </si>
  <si>
    <t>30801042500026</t>
  </si>
  <si>
    <t>PT BANK PERMATA DENPASAR QQ PT GRHA HATTEN DUASATU</t>
  </si>
  <si>
    <t>SHOPPING MALL (GRADE A)</t>
  </si>
  <si>
    <t>0801042500014</t>
  </si>
  <si>
    <t>10801042500214</t>
  </si>
  <si>
    <t>KARUNIA WAHYU ANTARNUSA QQ HARRIS HOTEL AND RESIDENCIES</t>
  </si>
  <si>
    <t>0801042500015</t>
  </si>
  <si>
    <t>10801042500282</t>
  </si>
  <si>
    <t>PT KOHINOOR INTI NUSANTARA</t>
  </si>
  <si>
    <t>RUMAH KONTRAKAN</t>
  </si>
  <si>
    <t>0801052500001</t>
  </si>
  <si>
    <t>30801052500001</t>
  </si>
  <si>
    <t>PT. LABDA ANUGERAH TEKSTIL</t>
  </si>
  <si>
    <t>DIGITAL PRINTING</t>
  </si>
  <si>
    <t>0801362500003</t>
  </si>
  <si>
    <t>10801362503207</t>
  </si>
  <si>
    <t>PT BANK NEGARA INDONESIA (PERSERO) TBK KANTOR CABANG MATARAM QQ Tn SOFWANUL HADI</t>
  </si>
  <si>
    <t>TOKO/ BENGKEL</t>
  </si>
  <si>
    <t>0901022400030</t>
  </si>
  <si>
    <t>30901022400256</t>
  </si>
  <si>
    <t>PPPSRS APT. THAMRIN RESIDENCES AND/OR ASSOCIATED AND/OR SUBSIDIARY AND/OR AFFILIATED COMPANIES INCLUDING THOSE ACQUIRED OR INCORPORATED DURING THE PERIOD OF INSURANCE FOR THEIR RESPECTIVE RIGHTS AND INTERESTS.</t>
  </si>
  <si>
    <t>Appartements/Condominium, offices exceeding 24 stroyers</t>
  </si>
  <si>
    <t>0901022400034</t>
  </si>
  <si>
    <t>30901022400232</t>
  </si>
  <si>
    <t>PPRS MEDITERANIA GARDEN RESIDENCES 1 AND/OR ASSOCIATED AND/OR SUBSIDIARY AND/OR AFFILIATED COMPANIES INCLUDING THOSE ACQUIRED OR INCORPORATED DURING THE PERIOD OF INSURANCE FOR THEIR RESPECTIVE RIGHTS AND INTERESTS.</t>
  </si>
  <si>
    <t>0901042400174</t>
  </si>
  <si>
    <t>30901042400064</t>
  </si>
  <si>
    <t>PT. CITRA PALMA PERTIWI (CPP 2) AND/OR ASSOCIATED AND/OR SUBSIDIARY AND/OR AFFILIATED COMPANIES INCLUDING THOSE ACQUIRED OR INCORPORATED DURING THE PERIOD OF INSURANCE FOR THEIR RESPECTIVE RIGHTS AND INTERESTS</t>
  </si>
  <si>
    <t>Barak G5 and/or other activities related to the insured trade of business</t>
  </si>
  <si>
    <t>0901042400181</t>
  </si>
  <si>
    <t>30901042300159</t>
  </si>
  <si>
    <t>MANDIRI DIPTA CIPTA and/or IBIS STYLES HOTEL and/or NOVOTEL HOTEL and/or subsidiary and/or associated companies and/or affiliated companies including those acquired or incorporated during the period of insurance for their respective rights and interests</t>
  </si>
  <si>
    <t>Department Stores / Mall</t>
  </si>
  <si>
    <t>0901042400370</t>
  </si>
  <si>
    <t>30901042400378</t>
  </si>
  <si>
    <t>PERHIMPUNAN PEMILIK DAN PENGHUNI SATUAN RUMAH SUSUN KOMERSIAL HUNIAN CAMPURAN RESIDENCE 8 @ SENOPATI AND/OR (GEDUNG RESIDENCE 8) AND AND/OR ASSOCIATED AND/OR SUBSIDIARY AND/OR AFFILIATED COMPANIES INCLUDING THOSE ACQUIRED OR INCORPORATED DURING THE PERIOD OF INSURANCE FOR THEIR RESPECTIVE RIGHTS AND INTERESTS.</t>
  </si>
  <si>
    <t>0901042400389</t>
  </si>
  <si>
    <t>0901042400406</t>
  </si>
  <si>
    <t>30901042400523</t>
  </si>
  <si>
    <t>PERHIMPUNAN PEMILIK DAN PENGHUNI SATUAN RUMAH SUSUN APARTEMEN FRENCH WALK AND AND/OR ASSOCIATED AND/OR SUBSIDIARY AND/OR AFFILIATED COMPANIES INCLUDING THOSE ACQUIRED OR INCORPORATED DURING THE PERIOD OF INSURANCE FOR THEIR RESPECTIVE RIGHTS AND INTERESTS</t>
  </si>
  <si>
    <t>Apartment and/or sales activities and/or operation activities and/or others related to the insured business</t>
  </si>
  <si>
    <t>0901042400418</t>
  </si>
  <si>
    <t>30901042400531</t>
  </si>
  <si>
    <t>PT KALBE FARMA TBK and/or associated and/or subsidiary and/or affiliated companies including those acquired or incorporated during the period of insurance for their respective rights and interests.</t>
  </si>
  <si>
    <t>Pharmaceutical Product</t>
  </si>
  <si>
    <t>0901042400428</t>
  </si>
  <si>
    <t>30901042400317</t>
  </si>
  <si>
    <t>PT KARYA INDAH MULTIGUNA and/or subsidiary and/or affiliated and/or inter-related companies for their respective rights and interests</t>
  </si>
  <si>
    <t>Mainly Corrugated Box Manufacturer and/or Paper Goods Factory and its accessories</t>
  </si>
  <si>
    <t>0901042400431</t>
  </si>
  <si>
    <t>0901042400432</t>
  </si>
  <si>
    <t>0901042400459</t>
  </si>
  <si>
    <t>30901042400052</t>
  </si>
  <si>
    <t>PT. BORNEO CITRA PERSADA JAYA (BCPJ) AND/OR ASSOCIATED AND/OR SUBSIDIARY AND/OR AFFILIATED COMPANIES INCLUDING THOSE ACQUIRED OR INCORPORATED DURING THE PERIOD OF INSURANCE FOR THEIR RESPECTIVE RIGHTS AND INTERESTS</t>
  </si>
  <si>
    <t>Barak G10 and/or other activities related to the insured trade of business</t>
  </si>
  <si>
    <t>0901042500030</t>
  </si>
  <si>
    <t>0901042500039</t>
  </si>
  <si>
    <t>30901042500074</t>
  </si>
  <si>
    <t>BORNEO BHAKTI SEJAHTERA, PT AND/OR MARSAM CITRA ADIPERKASA, PT AND/OR SETIA AGRO UTAMA, PT AND/OR KETAPANG HIJAU LESTARI, PT AND/OR BHUMI SIMANGGARIS INDAH, AND/OR PT BULUNGAN HIJAU PERKASA, PT AND/OR KARANGJUANG HIJAU LESTAR</t>
  </si>
  <si>
    <t>Dwelling House and/or sales activities and/or operation activities and/or others related to the insured business</t>
  </si>
  <si>
    <t>0901042500044</t>
  </si>
  <si>
    <t>30901042400857</t>
  </si>
  <si>
    <t>CASHCALL</t>
  </si>
  <si>
    <t>0901042500045</t>
  </si>
  <si>
    <t>30901042400856</t>
  </si>
  <si>
    <t>PT MULTI MAKMUR INDAH INDUSTRI and/or subsidiary and/or affiliated and/or inter-related companies for their respective rights and interests</t>
  </si>
  <si>
    <t>Mainly Tin Can Factory and Mechanical Engineering and its accessories</t>
  </si>
  <si>
    <t>0901042500100</t>
  </si>
  <si>
    <t>30901042500419</t>
  </si>
  <si>
    <t>PERHIMPUNAN PEMILIK DAN PENGHUNI SATUAN RUMAH SUSUN APARTEMEN FRENCH WALK AND/OR SUBSIDIARY/IES AND/OR ASSOCIATED COMPANIES AND/OR AFFILIATED COMPANIES INCLUDING THOSE ACQUIRED OR INCORPORATED DURING THE PERIOD OF INSURANCE FOR THEIR RESPECTIVE RIGHTS AND INTERESTS</t>
  </si>
  <si>
    <t>0901042500101</t>
  </si>
  <si>
    <t>30901042500413</t>
  </si>
  <si>
    <t>Kalventis Sinergi Farma PT and/or associated and/or subsidiary and/or affiliated companies including those acquired or incorporated during the period of insurance for their respective rights and interests.</t>
  </si>
  <si>
    <t>Pharmaceutical Product Factory</t>
  </si>
  <si>
    <t>0901042500125</t>
  </si>
  <si>
    <t>30901042500480</t>
  </si>
  <si>
    <t>PPRS APARTEMEN SUDIRMAN PARK AND/OR ASSOCIATED AND/OR SUBSIDIARY AND/OR AFFILIATED COMPANIES INCLUDING THOSE ACQUIRED OR INCORPORATED DURING THE PERIOD OF INSURANCE FOR THEIR RESPECTIVE RIGHTS AND INTERESTS</t>
  </si>
  <si>
    <t>0901042500161</t>
  </si>
  <si>
    <t>30901042500486</t>
  </si>
  <si>
    <t>0901042500163</t>
  </si>
  <si>
    <t>30901042500483</t>
  </si>
  <si>
    <t>P3SRS KOMERSIAL CAMPURAN SEASONS CITY AND/OR ASSOCIATED AND/OR SUBSIDIARY AND/OR AFFILIATED COMPANIES INCLUDING THOSE ACQUIRED OR INCORPORATED DURING THE PERIOD OF INSURANCE FOR THEIR RESPECTIVE RIGHTS AND INTERESTS</t>
  </si>
  <si>
    <t>Apartment and/or Office and/or sales activities and/or operation activities and/or others related to the insured business.</t>
  </si>
  <si>
    <t>0901042500177</t>
  </si>
  <si>
    <t>0901042500180</t>
  </si>
  <si>
    <t>0901042500183</t>
  </si>
  <si>
    <t>0901042500189</t>
  </si>
  <si>
    <t>0901042500210</t>
  </si>
  <si>
    <t>30901042500420</t>
  </si>
  <si>
    <t>PPPSRS THE MANSION AT DUKUH GOLF KEMAYORAN CLUSTER JASMINE AND/OR SUBSIDIARY/IES AND/OR ASSOCIATED COMPANIES AND/OR AFFILIATED COMPANIES INCLUDING THOSE ACQUIRED OR INCORPORATED DURING THE PERIOD OF INSURANCE FOR THEIR RESPECTIVE RIGHTS AND INTERESTS</t>
  </si>
  <si>
    <t>Apartment and/or sales activities and/or operation activities and/or other activities related to the insured`s business</t>
  </si>
  <si>
    <t>0901042500226</t>
  </si>
  <si>
    <t>30901042500179</t>
  </si>
  <si>
    <t>0901042500242</t>
  </si>
  <si>
    <t>30901042500544</t>
  </si>
  <si>
    <t>MEGAKARYA JAYA RAYA, PT AND/OR SUBSIDIARY/IES AND/OR ASSOCIATED COMPANIES AND/OR AFFILIATED COMPANIES INCLUDING THOSE ACQUIRED OR INCORPORATED DURING THE PERIOD OF INSURANCE FOR THEIR RESPECTIVE RIGHTS AND INTERESTS.</t>
  </si>
  <si>
    <t>Dwelling houses not classified as shop houses (ruko) not exceeding 3 storeys and/or sales activities and/or operation activities and/or others related to the insured business.</t>
  </si>
  <si>
    <t>0901042500270</t>
  </si>
  <si>
    <t>30901042500548</t>
  </si>
  <si>
    <t>PT SANDANG ASIA MAJU ABADI (10038842) AND/OR ALL ASSOCIATED AND/OR SUBSIDIARY COMPANY INCLUDING THOSE ACQUIRED OR INCORPORATED DURING THE PERIOD OF INSURANCE FOR THEIR RESPECTIVE RIGHTS AND INTERESTS PT. BANK CIMB NIAGA TBK.,</t>
  </si>
  <si>
    <t>Garment Factory</t>
  </si>
  <si>
    <t>0901042500302</t>
  </si>
  <si>
    <t>30901042500941</t>
  </si>
  <si>
    <t>PT. PRIMAFOOD INTERNATIONAL - PFM JAKARTA</t>
  </si>
  <si>
    <t>POULTRY FARMS</t>
  </si>
  <si>
    <t>0901042500306</t>
  </si>
  <si>
    <t>PT. PRIMAFOOD INTERNATIONAL - PFM SEMARANG</t>
  </si>
  <si>
    <t>0901042500310</t>
  </si>
  <si>
    <t>0901042500311</t>
  </si>
  <si>
    <t>0901042500312</t>
  </si>
  <si>
    <t>PT. PRIMAFOOD INTERNATIONAL - PFM BANDUNG</t>
  </si>
  <si>
    <t>0901042500330</t>
  </si>
  <si>
    <t>30901042500133</t>
  </si>
  <si>
    <t xml:space="preserve">PT. PUTRAGAYA WAHANA and/or subsidiary/ies and/or associated  companies and/or affiliated companies including those acquired or incorporated during the period of insurance for their respective rights and interests. </t>
  </si>
  <si>
    <t>Shopping mall/center Grade A</t>
  </si>
  <si>
    <t>0901042500358</t>
  </si>
  <si>
    <t>30901042500247</t>
  </si>
  <si>
    <t>PT. Global Onkolab Farma and/or associated and/or subsidiary and/or affiliated companies including those acquired or incorporated during the period of insurance for their respective rights and interests</t>
  </si>
  <si>
    <t>0901042500440</t>
  </si>
  <si>
    <t>0901042500441</t>
  </si>
  <si>
    <t>0901052400011</t>
  </si>
  <si>
    <t>30901052300563</t>
  </si>
  <si>
    <t>PT. KAHATEX and/or subsidiary and/or affiliated and/or associated and/or for their respective rights and interests</t>
  </si>
  <si>
    <t>Mixed Processes (Spinning, weaving) : Synthetic fibres and/or sales activities and/or operation activities and/or others related to the insured business</t>
  </si>
  <si>
    <t>0901052400013</t>
  </si>
  <si>
    <t>30901052300560</t>
  </si>
  <si>
    <t>Mixed Processes (Spinning, Weaving) : Synthectic Fibres and/or Sales Activities and/or Operation Activities and/or Others Related to the Insured Business</t>
  </si>
  <si>
    <t>0901052400031</t>
  </si>
  <si>
    <t>30901052300561</t>
  </si>
  <si>
    <t>0901052500067</t>
  </si>
  <si>
    <t>30901052400603</t>
  </si>
  <si>
    <t>PT TRI SAKTI PURWOSARI MAKMUR and/or subsidiary/ies and/or associated companies and/or affiliated companies including those acquired or incorporated during the period of insurance for their respective rights and interests</t>
  </si>
  <si>
    <t>Cigarette Manufacture</t>
  </si>
  <si>
    <t>0901052500075</t>
  </si>
  <si>
    <t>0901052500087</t>
  </si>
  <si>
    <t>30901052500352</t>
  </si>
  <si>
    <t>PT Intan Sejati Andalan and/or subsidiary and/or affiliated and/or inter-related companies for their respective rights and interests.</t>
  </si>
  <si>
    <t>CPO Oil Mill</t>
  </si>
  <si>
    <t>0901052500097</t>
  </si>
  <si>
    <t>30901052400090</t>
  </si>
  <si>
    <t>SMART TBK, PT and/or subsidiary/ies and/or associated companies and/or affiliated companies including those acquired or incorporated during the period of insurance for their respective rights and interests</t>
  </si>
  <si>
    <t>Edible Oils Plants and Other Plants Producing Edible Palm Oil (CPO, PKO, CCO), cooking oil and margarine from vegetable oil or Other Edible Oils or Desiccated Coconut and/or sales activities and/or operation activities and/or other activities related to the insured`s business</t>
  </si>
  <si>
    <t>0901242400016</t>
  </si>
  <si>
    <t>30901242400011</t>
  </si>
  <si>
    <t>PT MURIA SUMBA MANIS and/or subsidiary/ies and/or associated companies and/or affiliated companies including those acquired or incorporated during the period of insurance for their respective rights and interests</t>
  </si>
  <si>
    <t>Private Warehouse/Office</t>
  </si>
  <si>
    <t>0901242500008</t>
  </si>
  <si>
    <t>30901242400053</t>
  </si>
  <si>
    <t>PPPSRSSH THE PAKUBUWONO MENTENG QQ PT. INTERGRAHA EKAMAKMUR AND/OR ASSOCIATED AND/OR SUBSIDIARY AND/OR AFFILIATED COMPANIES INCLUDING THOSE ACQUIRED OR INCORPORATED DURING THE PERIOD OF INSURANCE FOR THEIR RESPECTIVE RIGHTS AND INTERESTS.</t>
  </si>
  <si>
    <t>Apartment and/or sales activities and/or operation activities and/or others related to the insured business.</t>
  </si>
  <si>
    <t>0901242500017</t>
  </si>
  <si>
    <t>30901242400065</t>
  </si>
  <si>
    <t>PPPSRSSH THE PAKUBUWONO SPRING AND/OR ASSOCIATED AND/OR SUBSIDIARY AND/OR AFFILIATED COMPANIES INCLUDING THOSE ACQUIRED OR INCORPORATED DURING THE PERIOD OF INSURANCE FOR THEIR RESPECTIVE RIGHTS AND INTERESTS.</t>
  </si>
  <si>
    <t>0901242500024</t>
  </si>
  <si>
    <t>30901242400051</t>
  </si>
  <si>
    <t>PPPSRS THE PAKUBUWONO HOUSE AND/OR ASSOCIATED AND/OR SUBSIDIARY AND/OR AFFILIATED COMPANIES INCLUDING THOSE ACQUIRED OR INCORPORATED DURING THE PERIOD OF INSURANCE FOR THEIR RESPECTIVE RIGHTS AND INTERESTS.</t>
  </si>
  <si>
    <t>0901242500025</t>
  </si>
  <si>
    <t>0901242500026</t>
  </si>
  <si>
    <t>30901242500023</t>
  </si>
  <si>
    <t>PT. GLOBAL DAIRI ALAMI including any subsidiary and/or related company of the unnamed of this existing at the commencement of this insurance or formed, purchased or otherwise acquired during the currency of the Policy for the</t>
  </si>
  <si>
    <t>FARM AND MILK MANUFACTURE</t>
  </si>
  <si>
    <t>0901242500030</t>
  </si>
  <si>
    <t>30901242500007</t>
  </si>
  <si>
    <t>PT. BANK NEGARA INDONESIA ( PERSERO ), TBK QQ PT PANCAKARYA GRIYATAMA QQ PT MANDIRI MAJU KELOLATAMA AND/OR ASSOCIATED AND/OR SUBSIDIARY AND/OR AFFILIATED COMPANIES INCLUDING THOSE ACQUIRED OR INCORPORATED DURING THE PERIOD OF INSURANCE FOR THEIR RESPECTIVE RIGHTS AND INTERESTS.</t>
  </si>
  <si>
    <t>Shopping mall/center Grade A sales activities and/or operation activities and/or others related to the insured business.</t>
  </si>
  <si>
    <t>0901242500032</t>
  </si>
  <si>
    <t>30901242500052</t>
  </si>
  <si>
    <t>PT GLOBAL DIGITAL NIAGA including any subsidiary and/or related company of the unnamed of this existing at the commencement of this insurance or formed, purchased or otherwise acquired during the currency of the Policy for th</t>
  </si>
  <si>
    <t>0901242500035</t>
  </si>
  <si>
    <t>1101012500004</t>
  </si>
  <si>
    <t>31101012500059</t>
  </si>
  <si>
    <t>PT NEW HOPE FARM INDONESIA</t>
  </si>
  <si>
    <t>1101012500005</t>
  </si>
  <si>
    <t>31101012500058</t>
  </si>
  <si>
    <t>1101042400017</t>
  </si>
  <si>
    <t>31101042400068</t>
  </si>
  <si>
    <t>PT BANK UOB INDONESIA QQ PT SANSAN SAUDARATEX JAYA</t>
  </si>
  <si>
    <t>Garment Factory / Private Warehouse</t>
  </si>
  <si>
    <t>1101042400019</t>
  </si>
  <si>
    <t>31101042400073</t>
  </si>
  <si>
    <t>PT BANK CENTRAL ASIA TBK KANWIL I QQ PT MULTIBRATA ANUGERAH UTAMA QQ PT SANSAN SAUDARATEX JAYA</t>
  </si>
  <si>
    <t>1101042500017</t>
  </si>
  <si>
    <t>31101042500059</t>
  </si>
  <si>
    <t>PT BANK CENTRAL ASIA TBK KANWIL I BANDUNG QQ PT DAYA PRATAMA LESTARI</t>
  </si>
  <si>
    <t>Textile Factory (weaving, dyeing, finishing)</t>
  </si>
  <si>
    <t>1101042500021</t>
  </si>
  <si>
    <t>31101042500030</t>
  </si>
  <si>
    <t>CV LANGKAH MAJU PERKASA JAYA QQ MUNIR KAMSI</t>
  </si>
  <si>
    <t>Garment/Konveksi/Private Warehouse/Office</t>
  </si>
  <si>
    <t>1101042500022</t>
  </si>
  <si>
    <t>31101042500074</t>
  </si>
  <si>
    <t>PT SENOTEXINDO JAYA LESTARI</t>
  </si>
  <si>
    <t>Dressing and Finishing Processes : Synthetic Fibres</t>
  </si>
  <si>
    <t>1101042500024</t>
  </si>
  <si>
    <t>31101042500077</t>
  </si>
  <si>
    <t>PT WAGUNA</t>
  </si>
  <si>
    <t>Mall / Department Stores / Shopping Center</t>
  </si>
  <si>
    <t>1101042500025</t>
  </si>
  <si>
    <t>31101042500067</t>
  </si>
  <si>
    <t>PT BANK MAYBANK INDONESIA TBK QQ PT DAESE GARMIN</t>
  </si>
  <si>
    <t>Garment Manufacture</t>
  </si>
  <si>
    <t>1101042500026</t>
  </si>
  <si>
    <t>31101042500065</t>
  </si>
  <si>
    <t>PT DAESE GARMIN</t>
  </si>
  <si>
    <t>1101042500047</t>
  </si>
  <si>
    <t>31101042400130</t>
  </si>
  <si>
    <t>PT SINAR PARA TARUNA Plant-1</t>
  </si>
  <si>
    <t>Textile Factory / Mixed</t>
  </si>
  <si>
    <t>1101052400009</t>
  </si>
  <si>
    <t>31101052400003</t>
  </si>
  <si>
    <t>PT GUCCI RATU TEXTILE</t>
  </si>
  <si>
    <t>Mixed Processes (Spinning, Weaving) : Mixed</t>
  </si>
  <si>
    <t>1601362500002</t>
  </si>
  <si>
    <t>11601362500485</t>
  </si>
  <si>
    <t>PT BANK NEGARA INDONESIA (PERSERO) TBK KANTOR CABANG METRO QQ HERI SETIAWAN (1807071409880002)</t>
  </si>
  <si>
    <t>1701362500005</t>
  </si>
  <si>
    <t>11701362501276</t>
  </si>
  <si>
    <t>PT BANK NEGARA INDONESIA (PERSERO) TBK KANTOR CABANG PALU QQ M SALEH (KUR - 1932829420)</t>
  </si>
  <si>
    <t>TOKO</t>
  </si>
  <si>
    <t>1801042500004</t>
  </si>
  <si>
    <t>11801042500061</t>
  </si>
  <si>
    <t>RUMAH SAKIT AKADEMIK UGM YOGYAKARTA (GEDUNG ARJUNA) ( VIP )</t>
  </si>
  <si>
    <t>Sanatorium, hospitals, doctor`s consulting room`s old people`s and Children`s homes</t>
  </si>
  <si>
    <t>1801212500001</t>
  </si>
  <si>
    <t>11801212301215</t>
  </si>
  <si>
    <t>BANK NEGARA INDONESIA (PERSERO) TBK KANTOR CABANG KLATEN QQ JOKO SUSILO</t>
  </si>
  <si>
    <t>1801212500003</t>
  </si>
  <si>
    <t>11801212303490</t>
  </si>
  <si>
    <t>BANK NEGARA INDONESIA (PERSERO) TBK KANTOR CABANG PURWOREJO QQ SUSANTI SANTOSO</t>
  </si>
  <si>
    <t>Tyre factories, vulcanizing works rubber factories (non estate risks)</t>
  </si>
  <si>
    <t>1801362500003</t>
  </si>
  <si>
    <t>11801362103779</t>
  </si>
  <si>
    <t>PT BANK NEGARA INDONESIA (PERSERO) TBK. SENTRA BISNIS SME SOLO UKC SRAGEN QQ. EKO SUGIYANTO</t>
  </si>
  <si>
    <t>1901212500001</t>
  </si>
  <si>
    <t>11901212501975</t>
  </si>
  <si>
    <t>PT BANK NEGARA INDONESIA (PERSERO) TBK KANTOR CABANG PEMBANTU (KCP) PALMERAH QQ ROBIYATUN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</si>
</sst>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 #,##0_-;_-* &quot;-&quot;_-;_-@_-"/>
    <numFmt numFmtId="165" formatCode="_-* #,##0.00_-;\-* #,##0.00_-;_-* &quot;-&quot;??_-;_-@_-"/>
    <numFmt numFmtId="166" formatCode="_(* #,##0_);_(* \(#,##0\);_(* &quot;-&quot;??_);_(@_)"/>
    <numFmt numFmtId="167" formatCode="_-* #,##0.00_-;\-* #,##0.00_-;_-* &quot;-&quot;_-;_-@_-"/>
  </numFmts>
  <fonts count="6">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4"/>
      <color theme="1"/>
      <name val="Calibri"/>
      <family val="2"/>
      <scheme val="minor"/>
    </font>
    <font>
      <sz val="1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40">
    <xf numFmtId="0" fontId="0" fillId="0" borderId="0" xfId="0"/>
    <xf numFmtId="0" fontId="0" fillId="0" borderId="1" xfId="0" applyBorder="1"/>
    <xf numFmtId="0" fontId="0" fillId="0" borderId="1" xfId="0" applyBorder="1" applyAlignment="1">
      <alignment horizontal="center"/>
    </xf>
    <xf numFmtId="0" fontId="0" fillId="0" borderId="0" xfId="0" applyAlignment="1">
      <alignment horizontal="center" wrapText="1"/>
    </xf>
    <xf numFmtId="0" fontId="3" fillId="2" borderId="1" xfId="0" applyFont="1" applyFill="1" applyBorder="1" applyAlignment="1">
      <alignment horizontal="center" vertical="center" wrapText="1"/>
    </xf>
    <xf numFmtId="0" fontId="0" fillId="0" borderId="7" xfId="0" applyBorder="1"/>
    <xf numFmtId="0" fontId="0" fillId="0" borderId="5" xfId="0" applyBorder="1"/>
    <xf numFmtId="0" fontId="3" fillId="0" borderId="0" xfId="0" applyFont="1"/>
    <xf numFmtId="0" fontId="4" fillId="0" borderId="0" xfId="0" applyFont="1"/>
    <xf numFmtId="0" fontId="2" fillId="0" borderId="4" xfId="0" applyFont="1" applyBorder="1"/>
    <xf numFmtId="0" fontId="2" fillId="0" borderId="6" xfId="0" applyFont="1" applyBorder="1"/>
    <xf numFmtId="0" fontId="5" fillId="0" borderId="1" xfId="0" applyFont="1" applyBorder="1" applyAlignment="1">
      <alignment horizontal="center"/>
    </xf>
    <xf numFmtId="0" fontId="5" fillId="0" borderId="1" xfId="0" applyFont="1" applyBorder="1"/>
    <xf numFmtId="166" fontId="5" fillId="0" borderId="1" xfId="0" applyNumberFormat="1" applyFont="1" applyBorder="1"/>
    <xf numFmtId="0" fontId="5" fillId="0" borderId="0" xfId="0" applyFont="1"/>
    <xf numFmtId="0" fontId="0" fillId="0" borderId="0" xfId="0" applyAlignment="1">
      <alignment horizontal="center"/>
    </xf>
    <xf numFmtId="15" fontId="5" fillId="0" borderId="1" xfId="0" applyNumberFormat="1" applyFont="1" applyBorder="1" applyAlignment="1">
      <alignment horizontal="center"/>
    </xf>
    <xf numFmtId="167" fontId="0" fillId="0" borderId="0" xfId="2" applyNumberFormat="1" applyFont="1"/>
    <xf numFmtId="43" fontId="5" fillId="0" borderId="1" xfId="0" applyNumberFormat="1" applyFont="1" applyBorder="1"/>
    <xf numFmtId="165" fontId="0" fillId="0" borderId="0" xfId="0" applyNumberFormat="1"/>
    <xf numFmtId="165" fontId="5" fillId="0" borderId="0" xfId="1" applyNumberFormat="1" applyFont="1" applyBorder="1"/>
    <xf numFmtId="167" fontId="0" fillId="0" borderId="0" xfId="2" applyNumberFormat="1" applyFont="1" applyBorder="1"/>
    <xf numFmtId="167" fontId="5" fillId="0" borderId="0" xfId="2" applyNumberFormat="1" applyFont="1" applyBorder="1"/>
    <xf numFmtId="166" fontId="5" fillId="0" borderId="0" xfId="0" applyNumberFormat="1" applyFont="1"/>
    <xf numFmtId="166" fontId="0" fillId="0" borderId="1" xfId="0" applyNumberFormat="1" applyBorder="1"/>
    <xf numFmtId="165" fontId="5" fillId="0" borderId="0" xfId="0" applyNumberFormat="1" applyFont="1"/>
    <xf numFmtId="43" fontId="0" fillId="0" borderId="1" xfId="0" applyNumberFormat="1" applyBorder="1"/>
    <xf numFmtId="0" fontId="5" fillId="0" borderId="1" xfId="0" applyFont="1" applyBorder="1" applyAlignment="1">
      <alignment horizontal="left"/>
    </xf>
    <xf numFmtId="49" fontId="0" fillId="0" borderId="0" xfId="0" applyNumberFormat="1"/>
    <xf numFmtId="0" fontId="5" fillId="3" borderId="1" xfId="0" applyFont="1" applyFill="1" applyBorder="1" applyAlignment="1">
      <alignment horizontal="center"/>
    </xf>
    <xf numFmtId="0" fontId="5" fillId="3" borderId="1" xfId="0" applyFont="1" applyFill="1" applyBorder="1"/>
    <xf numFmtId="0" fontId="5" fillId="3" borderId="1" xfId="0" applyFont="1" applyFill="1" applyBorder="1" applyAlignment="1">
      <alignment horizontal="left"/>
    </xf>
    <xf numFmtId="15" fontId="5" fillId="3" borderId="1" xfId="0" applyNumberFormat="1" applyFont="1" applyFill="1" applyBorder="1" applyAlignment="1">
      <alignment horizontal="center"/>
    </xf>
    <xf numFmtId="166" fontId="0" fillId="3" borderId="1" xfId="0" applyNumberFormat="1" applyFill="1" applyBorder="1"/>
    <xf numFmtId="0" fontId="0" fillId="3" borderId="1" xfId="0" applyFill="1" applyBorder="1" applyAlignment="1">
      <alignment horizont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cellXfs>
  <cellStyles count="3">
    <cellStyle name="Comma" xfId="1" builtinId="3"/>
    <cellStyle name="Comma [0]" xfId="2"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2:AB373"/>
  <sheetViews>
    <sheetView showGridLines="0" tabSelected="1" zoomScale="70" zoomScaleNormal="70" zoomScaleSheetLayoutView="70" workbookViewId="0">
      <pane xSplit="7" ySplit="10" topLeftCell="Q13" activePane="bottomRight" state="frozen"/>
      <selection pane="bottomRight" activeCell="S10" sqref="S10"/>
      <selection pane="bottomLeft" activeCell="A11" sqref="A11"/>
      <selection pane="topRight" activeCell="H1" sqref="H1"/>
    </sheetView>
  </sheetViews>
  <sheetFormatPr defaultRowHeight="14.45"/>
  <cols>
    <col min="1" max="2" width="4.85546875" customWidth="1"/>
    <col min="3" max="3" width="16.5703125" customWidth="1"/>
    <col min="4" max="4" width="17" customWidth="1"/>
    <col min="5" max="5" width="15.85546875" customWidth="1"/>
    <col min="6" max="6" width="15" style="15" customWidth="1"/>
    <col min="7" max="7" width="10.5703125" style="15" bestFit="1" customWidth="1"/>
    <col min="8" max="8" width="14" style="15" customWidth="1"/>
    <col min="9" max="9" width="12.42578125" style="15" customWidth="1"/>
    <col min="10" max="10" width="15.5703125" style="15" customWidth="1"/>
    <col min="11" max="11" width="15.5703125" customWidth="1"/>
    <col min="12" max="12" width="13.5703125" style="15" customWidth="1"/>
    <col min="13" max="13" width="21.85546875" customWidth="1"/>
    <col min="14" max="14" width="8.85546875" style="15" customWidth="1"/>
    <col min="15" max="15" width="21" customWidth="1"/>
    <col min="16" max="16" width="8.5703125" customWidth="1"/>
    <col min="17" max="17" width="18.85546875" customWidth="1"/>
    <col min="18" max="18" width="17.7109375" customWidth="1"/>
    <col min="19" max="19" width="14.7109375" bestFit="1" customWidth="1"/>
    <col min="20" max="20" width="17.7109375" customWidth="1"/>
    <col min="21" max="22" width="18.85546875" customWidth="1"/>
    <col min="23" max="23" width="17.7109375" bestFit="1" customWidth="1"/>
    <col min="24" max="24" width="23.28515625" bestFit="1" customWidth="1"/>
    <col min="25" max="25" width="19.85546875" customWidth="1"/>
    <col min="26" max="26" width="21" customWidth="1"/>
    <col min="27" max="27" width="18.85546875" bestFit="1" customWidth="1"/>
    <col min="28" max="28" width="6" customWidth="1"/>
  </cols>
  <sheetData>
    <row r="2" spans="2:28" ht="18.600000000000001">
      <c r="B2" s="8" t="s">
        <v>0</v>
      </c>
    </row>
    <row r="3" spans="2:28">
      <c r="B3" s="7" t="s">
        <v>1</v>
      </c>
      <c r="D3" s="9" t="s">
        <v>2</v>
      </c>
      <c r="E3" s="6"/>
    </row>
    <row r="4" spans="2:28">
      <c r="B4" s="7" t="s">
        <v>3</v>
      </c>
      <c r="D4" s="10" t="s">
        <v>4</v>
      </c>
      <c r="E4" s="5"/>
    </row>
    <row r="5" spans="2:28">
      <c r="B5" s="7" t="s">
        <v>5</v>
      </c>
      <c r="D5" s="10" t="s">
        <v>6</v>
      </c>
      <c r="E5" s="5"/>
    </row>
    <row r="7" spans="2:28">
      <c r="X7" s="19"/>
    </row>
    <row r="8" spans="2:28">
      <c r="G8"/>
      <c r="H8"/>
      <c r="I8"/>
      <c r="J8"/>
      <c r="L8"/>
      <c r="N8"/>
      <c r="T8" s="19"/>
    </row>
    <row r="9" spans="2:28" s="3" customFormat="1" ht="15" customHeight="1">
      <c r="B9" s="35" t="s">
        <v>7</v>
      </c>
      <c r="C9" s="35" t="s">
        <v>8</v>
      </c>
      <c r="D9" s="35" t="s">
        <v>9</v>
      </c>
      <c r="E9" s="36" t="s">
        <v>10</v>
      </c>
      <c r="F9" s="35" t="s">
        <v>11</v>
      </c>
      <c r="G9" s="35" t="s">
        <v>12</v>
      </c>
      <c r="H9" s="35" t="s">
        <v>13</v>
      </c>
      <c r="I9" s="35"/>
      <c r="J9" s="35" t="s">
        <v>14</v>
      </c>
      <c r="K9" s="35" t="s">
        <v>15</v>
      </c>
      <c r="L9" s="35" t="s">
        <v>16</v>
      </c>
      <c r="M9" s="35" t="s">
        <v>17</v>
      </c>
      <c r="N9" s="35" t="s">
        <v>18</v>
      </c>
      <c r="O9" s="35" t="s">
        <v>19</v>
      </c>
      <c r="P9" s="38" t="s">
        <v>20</v>
      </c>
      <c r="Q9" s="39"/>
      <c r="R9" s="35" t="s">
        <v>21</v>
      </c>
      <c r="S9" s="35"/>
      <c r="T9" s="35"/>
      <c r="U9" s="35"/>
      <c r="V9" s="35" t="s">
        <v>22</v>
      </c>
      <c r="W9" s="35" t="s">
        <v>23</v>
      </c>
      <c r="X9" s="35" t="s">
        <v>24</v>
      </c>
      <c r="Y9" s="35" t="s">
        <v>25</v>
      </c>
      <c r="Z9" s="35" t="s">
        <v>26</v>
      </c>
    </row>
    <row r="10" spans="2:28" s="3" customFormat="1" ht="26.25" customHeight="1">
      <c r="B10" s="35"/>
      <c r="C10" s="35"/>
      <c r="D10" s="35"/>
      <c r="E10" s="37"/>
      <c r="F10" s="35"/>
      <c r="G10" s="35"/>
      <c r="H10" s="4" t="s">
        <v>27</v>
      </c>
      <c r="I10" s="4" t="s">
        <v>28</v>
      </c>
      <c r="J10" s="35"/>
      <c r="K10" s="35"/>
      <c r="L10" s="35"/>
      <c r="M10" s="35"/>
      <c r="N10" s="35"/>
      <c r="O10" s="35"/>
      <c r="P10" s="4" t="s">
        <v>29</v>
      </c>
      <c r="Q10" s="4" t="s">
        <v>30</v>
      </c>
      <c r="R10" s="4" t="s">
        <v>31</v>
      </c>
      <c r="S10" s="4" t="s">
        <v>32</v>
      </c>
      <c r="T10" s="4" t="s">
        <v>33</v>
      </c>
      <c r="U10" s="4" t="s">
        <v>34</v>
      </c>
      <c r="V10" s="35"/>
      <c r="W10" s="35"/>
      <c r="X10" s="35"/>
      <c r="Y10" s="35"/>
      <c r="Z10" s="35"/>
    </row>
    <row r="11" spans="2:28" s="14" customFormat="1">
      <c r="B11" s="11">
        <v>1</v>
      </c>
      <c r="C11" s="12" t="s">
        <v>35</v>
      </c>
      <c r="D11" s="12" t="s">
        <v>36</v>
      </c>
      <c r="E11" s="12" t="s">
        <v>37</v>
      </c>
      <c r="F11" s="27" t="s">
        <v>38</v>
      </c>
      <c r="G11" s="11">
        <v>2023</v>
      </c>
      <c r="H11" s="16">
        <v>45240</v>
      </c>
      <c r="I11" s="16">
        <v>45787</v>
      </c>
      <c r="J11" s="11">
        <v>29371</v>
      </c>
      <c r="K11" s="12" t="s">
        <v>39</v>
      </c>
      <c r="L11" s="16">
        <v>45614</v>
      </c>
      <c r="M11" s="12" t="s">
        <v>40</v>
      </c>
      <c r="N11" s="11" t="s">
        <v>41</v>
      </c>
      <c r="O11" s="24">
        <v>6589275</v>
      </c>
      <c r="P11" s="2">
        <v>100</v>
      </c>
      <c r="Q11" s="24">
        <v>6589275</v>
      </c>
      <c r="R11" s="24">
        <v>546602.80913433398</v>
      </c>
      <c r="S11" s="24">
        <v>0</v>
      </c>
      <c r="T11" s="24">
        <v>6042671</v>
      </c>
      <c r="U11" s="24">
        <v>1.1908656656742096</v>
      </c>
      <c r="V11" s="18">
        <v>0</v>
      </c>
      <c r="W11" s="13">
        <v>4592431</v>
      </c>
      <c r="X11" s="13">
        <v>0</v>
      </c>
      <c r="Y11" s="13">
        <f t="shared" ref="Y11:Y145" si="0">X11*76%</f>
        <v>0</v>
      </c>
      <c r="Z11" s="13"/>
      <c r="AA11" s="28"/>
      <c r="AB11" s="25"/>
    </row>
    <row r="12" spans="2:28" s="14" customFormat="1">
      <c r="B12" s="11">
        <v>2</v>
      </c>
      <c r="C12" s="12" t="s">
        <v>42</v>
      </c>
      <c r="D12" s="12" t="s">
        <v>43</v>
      </c>
      <c r="E12" s="12" t="s">
        <v>44</v>
      </c>
      <c r="F12" s="27" t="s">
        <v>38</v>
      </c>
      <c r="G12" s="11">
        <v>2024</v>
      </c>
      <c r="H12" s="16">
        <v>45528</v>
      </c>
      <c r="I12" s="16">
        <v>45893</v>
      </c>
      <c r="J12" s="11">
        <v>29412</v>
      </c>
      <c r="K12" s="12" t="s">
        <v>45</v>
      </c>
      <c r="L12" s="16">
        <v>45799</v>
      </c>
      <c r="M12" s="12" t="s">
        <v>46</v>
      </c>
      <c r="N12" s="11" t="s">
        <v>41</v>
      </c>
      <c r="O12" s="24">
        <v>19225000</v>
      </c>
      <c r="P12" s="2">
        <v>25</v>
      </c>
      <c r="Q12" s="24">
        <v>4806250</v>
      </c>
      <c r="R12" s="24">
        <v>1187832.47681707</v>
      </c>
      <c r="S12" s="24">
        <v>0</v>
      </c>
      <c r="T12" s="24">
        <v>3615448</v>
      </c>
      <c r="U12" s="24">
        <v>2969.5231829299591</v>
      </c>
      <c r="V12" s="18">
        <v>0</v>
      </c>
      <c r="W12" s="13">
        <v>3290058</v>
      </c>
      <c r="X12" s="13">
        <v>0</v>
      </c>
      <c r="Y12" s="13">
        <f>X12*91%</f>
        <v>0</v>
      </c>
      <c r="Z12" s="13"/>
      <c r="AA12" s="28"/>
      <c r="AB12" s="25"/>
    </row>
    <row r="13" spans="2:28" s="14" customFormat="1">
      <c r="B13" s="11">
        <v>3</v>
      </c>
      <c r="C13" s="12" t="s">
        <v>47</v>
      </c>
      <c r="D13" s="12" t="s">
        <v>48</v>
      </c>
      <c r="E13" s="12" t="s">
        <v>49</v>
      </c>
      <c r="F13" s="27" t="s">
        <v>38</v>
      </c>
      <c r="G13" s="11">
        <v>2025</v>
      </c>
      <c r="H13" s="16">
        <v>45747</v>
      </c>
      <c r="I13" s="16">
        <v>46112</v>
      </c>
      <c r="J13" s="11">
        <v>2465</v>
      </c>
      <c r="K13" s="12" t="s">
        <v>50</v>
      </c>
      <c r="L13" s="16">
        <v>45842</v>
      </c>
      <c r="M13" s="12" t="s">
        <v>51</v>
      </c>
      <c r="N13" s="11" t="s">
        <v>41</v>
      </c>
      <c r="O13" s="24">
        <v>265469160</v>
      </c>
      <c r="P13" s="2">
        <v>50</v>
      </c>
      <c r="Q13" s="24">
        <v>132734580</v>
      </c>
      <c r="R13" s="24">
        <v>92173904.785189599</v>
      </c>
      <c r="S13" s="24">
        <v>39503102</v>
      </c>
      <c r="T13" s="24">
        <v>0</v>
      </c>
      <c r="U13" s="24">
        <v>1057573.2148104012</v>
      </c>
      <c r="V13" s="18">
        <v>38318009</v>
      </c>
      <c r="W13" s="13">
        <v>0</v>
      </c>
      <c r="X13" s="13">
        <v>18530840</v>
      </c>
      <c r="Y13" s="13">
        <f>X13*97%</f>
        <v>17974914.800000001</v>
      </c>
      <c r="Z13" s="13"/>
      <c r="AA13" s="28"/>
      <c r="AB13" s="25"/>
    </row>
    <row r="14" spans="2:28" s="14" customFormat="1">
      <c r="B14" s="11">
        <v>4</v>
      </c>
      <c r="C14" s="12" t="s">
        <v>52</v>
      </c>
      <c r="D14" s="12" t="s">
        <v>53</v>
      </c>
      <c r="E14" s="12" t="s">
        <v>54</v>
      </c>
      <c r="F14" s="27" t="s">
        <v>38</v>
      </c>
      <c r="G14" s="11">
        <v>2025</v>
      </c>
      <c r="H14" s="16">
        <v>45069</v>
      </c>
      <c r="I14" s="16">
        <v>46896</v>
      </c>
      <c r="J14" s="11">
        <v>2934</v>
      </c>
      <c r="K14" s="12" t="s">
        <v>55</v>
      </c>
      <c r="L14" s="16">
        <v>45952</v>
      </c>
      <c r="M14" s="12" t="s">
        <v>56</v>
      </c>
      <c r="N14" s="11" t="s">
        <v>41</v>
      </c>
      <c r="O14" s="24">
        <v>47500000</v>
      </c>
      <c r="P14" s="2">
        <v>100</v>
      </c>
      <c r="Q14" s="24">
        <v>47500000</v>
      </c>
      <c r="R14" s="24">
        <v>32418750</v>
      </c>
      <c r="S14" s="24">
        <v>13893751</v>
      </c>
      <c r="T14" s="24">
        <v>0</v>
      </c>
      <c r="U14" s="24">
        <v>1187499</v>
      </c>
      <c r="V14" s="18">
        <v>13476938</v>
      </c>
      <c r="W14" s="13">
        <v>0</v>
      </c>
      <c r="X14" s="13">
        <v>0</v>
      </c>
      <c r="Y14" s="13">
        <f>X14*97%</f>
        <v>0</v>
      </c>
      <c r="Z14" s="13"/>
      <c r="AA14" s="28"/>
      <c r="AB14" s="25"/>
    </row>
    <row r="15" spans="2:28" s="14" customFormat="1">
      <c r="B15" s="11">
        <v>5</v>
      </c>
      <c r="C15" s="12" t="s">
        <v>57</v>
      </c>
      <c r="D15" s="12" t="s">
        <v>58</v>
      </c>
      <c r="E15" s="12" t="s">
        <v>59</v>
      </c>
      <c r="F15" s="27" t="s">
        <v>38</v>
      </c>
      <c r="G15" s="11">
        <v>2023</v>
      </c>
      <c r="H15" s="16">
        <v>45291</v>
      </c>
      <c r="I15" s="16">
        <v>45657</v>
      </c>
      <c r="J15" s="11">
        <v>2702</v>
      </c>
      <c r="K15" s="12" t="s">
        <v>60</v>
      </c>
      <c r="L15" s="16">
        <v>45600</v>
      </c>
      <c r="M15" s="12" t="s">
        <v>46</v>
      </c>
      <c r="N15" s="11" t="s">
        <v>41</v>
      </c>
      <c r="O15" s="24">
        <v>613550827.99999988</v>
      </c>
      <c r="P15" s="2">
        <v>10</v>
      </c>
      <c r="Q15" s="24">
        <v>61355082.799999997</v>
      </c>
      <c r="R15" s="24">
        <v>20461307.320265699</v>
      </c>
      <c r="S15" s="24">
        <v>0</v>
      </c>
      <c r="T15" s="24">
        <v>40893776</v>
      </c>
      <c r="U15" s="24">
        <v>-0.52026569843292236</v>
      </c>
      <c r="V15" s="18">
        <v>0</v>
      </c>
      <c r="W15" s="13">
        <v>31079269</v>
      </c>
      <c r="X15" s="13">
        <v>0</v>
      </c>
      <c r="Y15" s="13">
        <f t="shared" si="0"/>
        <v>0</v>
      </c>
      <c r="Z15" s="13"/>
      <c r="AA15" s="28"/>
      <c r="AB15" s="25"/>
    </row>
    <row r="16" spans="2:28" s="14" customFormat="1">
      <c r="B16" s="11">
        <v>6</v>
      </c>
      <c r="C16" s="12" t="s">
        <v>61</v>
      </c>
      <c r="D16" s="12" t="s">
        <v>62</v>
      </c>
      <c r="E16" s="12" t="s">
        <v>63</v>
      </c>
      <c r="F16" s="27" t="s">
        <v>38</v>
      </c>
      <c r="G16" s="11">
        <v>2023</v>
      </c>
      <c r="H16" s="16">
        <v>45291</v>
      </c>
      <c r="I16" s="16">
        <v>45657</v>
      </c>
      <c r="J16" s="11">
        <v>2702</v>
      </c>
      <c r="K16" s="12" t="s">
        <v>60</v>
      </c>
      <c r="L16" s="16">
        <v>45482</v>
      </c>
      <c r="M16" s="12" t="s">
        <v>46</v>
      </c>
      <c r="N16" s="11" t="s">
        <v>41</v>
      </c>
      <c r="O16" s="24">
        <v>5910750</v>
      </c>
      <c r="P16" s="2">
        <v>10</v>
      </c>
      <c r="Q16" s="24">
        <v>591075</v>
      </c>
      <c r="R16" s="24">
        <v>385972.87431679701</v>
      </c>
      <c r="S16" s="24">
        <v>0</v>
      </c>
      <c r="T16" s="24">
        <v>205102</v>
      </c>
      <c r="U16" s="24">
        <v>0.12568320299033076</v>
      </c>
      <c r="V16" s="18">
        <v>0</v>
      </c>
      <c r="W16" s="13">
        <v>155878</v>
      </c>
      <c r="X16" s="13">
        <v>0</v>
      </c>
      <c r="Y16" s="13">
        <f t="shared" si="0"/>
        <v>0</v>
      </c>
      <c r="Z16" s="13"/>
      <c r="AA16" s="28"/>
      <c r="AB16" s="25"/>
    </row>
    <row r="17" spans="2:28" s="14" customFormat="1">
      <c r="B17" s="11">
        <v>7</v>
      </c>
      <c r="C17" s="12" t="s">
        <v>64</v>
      </c>
      <c r="D17" s="12" t="s">
        <v>65</v>
      </c>
      <c r="E17" s="12" t="s">
        <v>66</v>
      </c>
      <c r="F17" s="27" t="s">
        <v>38</v>
      </c>
      <c r="G17" s="11">
        <v>2025</v>
      </c>
      <c r="H17" s="16">
        <v>45811</v>
      </c>
      <c r="I17" s="16">
        <v>46176</v>
      </c>
      <c r="J17" s="11">
        <v>2578</v>
      </c>
      <c r="K17" s="12" t="s">
        <v>67</v>
      </c>
      <c r="L17" s="16">
        <v>45881</v>
      </c>
      <c r="M17" s="12" t="s">
        <v>46</v>
      </c>
      <c r="N17" s="11" t="s">
        <v>41</v>
      </c>
      <c r="O17" s="24">
        <v>437753049.00000006</v>
      </c>
      <c r="P17" s="2">
        <v>12</v>
      </c>
      <c r="Q17" s="24">
        <v>52530365.880000003</v>
      </c>
      <c r="R17" s="24">
        <v>36582285.3414056</v>
      </c>
      <c r="S17" s="24">
        <v>15678122</v>
      </c>
      <c r="T17" s="24">
        <v>0</v>
      </c>
      <c r="U17" s="24">
        <v>269958.53859440237</v>
      </c>
      <c r="V17" s="18">
        <v>15207779</v>
      </c>
      <c r="W17" s="13">
        <v>0</v>
      </c>
      <c r="X17" s="13">
        <v>79891200</v>
      </c>
      <c r="Y17" s="13">
        <f>X17*97%</f>
        <v>77494464</v>
      </c>
      <c r="Z17" s="13"/>
      <c r="AA17" s="28"/>
      <c r="AB17" s="25"/>
    </row>
    <row r="18" spans="2:28" s="14" customFormat="1">
      <c r="B18" s="11">
        <v>8</v>
      </c>
      <c r="C18" s="12" t="s">
        <v>68</v>
      </c>
      <c r="D18" s="12" t="s">
        <v>69</v>
      </c>
      <c r="E18" s="12" t="s">
        <v>70</v>
      </c>
      <c r="F18" s="27" t="s">
        <v>38</v>
      </c>
      <c r="G18" s="11">
        <v>2024</v>
      </c>
      <c r="H18" s="16">
        <v>45323</v>
      </c>
      <c r="I18" s="16">
        <v>45689</v>
      </c>
      <c r="J18" s="11">
        <v>2623</v>
      </c>
      <c r="K18" s="12" t="s">
        <v>71</v>
      </c>
      <c r="L18" s="16">
        <v>45590</v>
      </c>
      <c r="M18" s="12" t="s">
        <v>51</v>
      </c>
      <c r="N18" s="11" t="s">
        <v>41</v>
      </c>
      <c r="O18" s="24">
        <v>678784672</v>
      </c>
      <c r="P18" s="2">
        <v>75</v>
      </c>
      <c r="Q18" s="24">
        <v>509088504</v>
      </c>
      <c r="R18" s="24">
        <v>190669851.68539301</v>
      </c>
      <c r="S18" s="24">
        <v>0</v>
      </c>
      <c r="T18" s="24">
        <v>315558604</v>
      </c>
      <c r="U18" s="24">
        <v>2860048.3146070242</v>
      </c>
      <c r="V18" s="18">
        <v>0</v>
      </c>
      <c r="W18" s="13">
        <v>287158330</v>
      </c>
      <c r="X18" s="13">
        <v>0</v>
      </c>
      <c r="Y18" s="13">
        <f>X18*91%</f>
        <v>0</v>
      </c>
      <c r="Z18" s="13"/>
      <c r="AA18" s="28"/>
      <c r="AB18" s="25"/>
    </row>
    <row r="19" spans="2:28" s="14" customFormat="1">
      <c r="B19" s="11">
        <v>9</v>
      </c>
      <c r="C19" s="12" t="s">
        <v>72</v>
      </c>
      <c r="D19" s="12" t="s">
        <v>73</v>
      </c>
      <c r="E19" s="12" t="s">
        <v>74</v>
      </c>
      <c r="F19" s="27" t="s">
        <v>38</v>
      </c>
      <c r="G19" s="11">
        <v>2025</v>
      </c>
      <c r="H19" s="16">
        <v>45816</v>
      </c>
      <c r="I19" s="16">
        <v>46181</v>
      </c>
      <c r="J19" s="11">
        <v>2623</v>
      </c>
      <c r="K19" s="12" t="s">
        <v>71</v>
      </c>
      <c r="L19" s="16">
        <v>45851</v>
      </c>
      <c r="M19" s="12" t="s">
        <v>46</v>
      </c>
      <c r="N19" s="11" t="s">
        <v>41</v>
      </c>
      <c r="O19" s="24">
        <v>360437826</v>
      </c>
      <c r="P19" s="2">
        <v>10</v>
      </c>
      <c r="Q19" s="24">
        <v>36043782.600000001</v>
      </c>
      <c r="R19" s="24">
        <v>24833522.4557897</v>
      </c>
      <c r="S19" s="24">
        <v>10642938</v>
      </c>
      <c r="T19" s="24">
        <v>0</v>
      </c>
      <c r="U19" s="24">
        <v>567322.14421030134</v>
      </c>
      <c r="V19" s="18">
        <v>10323650</v>
      </c>
      <c r="W19" s="13">
        <v>0</v>
      </c>
      <c r="X19" s="13">
        <v>0</v>
      </c>
      <c r="Y19" s="13">
        <f t="shared" ref="Y19:Y24" si="1">X19*97%</f>
        <v>0</v>
      </c>
      <c r="Z19" s="13"/>
      <c r="AA19" s="28"/>
      <c r="AB19" s="25"/>
    </row>
    <row r="20" spans="2:28" s="14" customFormat="1">
      <c r="B20" s="11">
        <v>10</v>
      </c>
      <c r="C20" s="12" t="s">
        <v>75</v>
      </c>
      <c r="D20" s="12" t="s">
        <v>76</v>
      </c>
      <c r="E20" s="12" t="s">
        <v>77</v>
      </c>
      <c r="F20" s="27" t="s">
        <v>38</v>
      </c>
      <c r="G20" s="11">
        <v>2025</v>
      </c>
      <c r="H20" s="16">
        <v>45348</v>
      </c>
      <c r="I20" s="16">
        <v>47175</v>
      </c>
      <c r="J20" s="11">
        <v>2734</v>
      </c>
      <c r="K20" s="12" t="s">
        <v>78</v>
      </c>
      <c r="L20" s="16">
        <v>45840</v>
      </c>
      <c r="M20" s="12" t="s">
        <v>56</v>
      </c>
      <c r="N20" s="11" t="s">
        <v>41</v>
      </c>
      <c r="O20" s="24">
        <v>29063700.949999999</v>
      </c>
      <c r="P20" s="2">
        <v>100</v>
      </c>
      <c r="Q20" s="24">
        <v>29063700.949999999</v>
      </c>
      <c r="R20" s="24">
        <v>19835975.8983749</v>
      </c>
      <c r="S20" s="24">
        <v>8501133</v>
      </c>
      <c r="T20" s="24">
        <v>0</v>
      </c>
      <c r="U20" s="24">
        <v>726592.05162509903</v>
      </c>
      <c r="V20" s="18">
        <v>8246099</v>
      </c>
      <c r="W20" s="13">
        <v>0</v>
      </c>
      <c r="X20" s="13">
        <v>0</v>
      </c>
      <c r="Y20" s="13">
        <f t="shared" si="1"/>
        <v>0</v>
      </c>
      <c r="Z20" s="13"/>
      <c r="AA20" s="28"/>
      <c r="AB20" s="25"/>
    </row>
    <row r="21" spans="2:28" s="14" customFormat="1">
      <c r="B21" s="11">
        <v>11</v>
      </c>
      <c r="C21" s="12" t="s">
        <v>79</v>
      </c>
      <c r="D21" s="12" t="s">
        <v>80</v>
      </c>
      <c r="E21" s="12" t="s">
        <v>81</v>
      </c>
      <c r="F21" s="27" t="s">
        <v>38</v>
      </c>
      <c r="G21" s="11">
        <v>2025</v>
      </c>
      <c r="H21" s="16">
        <v>45314</v>
      </c>
      <c r="I21" s="16">
        <v>47140</v>
      </c>
      <c r="J21" s="11">
        <v>2934</v>
      </c>
      <c r="K21" s="12" t="s">
        <v>82</v>
      </c>
      <c r="L21" s="16">
        <v>45876</v>
      </c>
      <c r="M21" s="12" t="s">
        <v>56</v>
      </c>
      <c r="N21" s="11" t="s">
        <v>41</v>
      </c>
      <c r="O21" s="24">
        <v>64286423.409999996</v>
      </c>
      <c r="P21" s="2">
        <v>100</v>
      </c>
      <c r="Q21" s="24">
        <v>64286423.409999996</v>
      </c>
      <c r="R21" s="24">
        <v>43875483.977325</v>
      </c>
      <c r="S21" s="24">
        <v>18803779</v>
      </c>
      <c r="T21" s="24">
        <v>0</v>
      </c>
      <c r="U21" s="24">
        <v>1607160.4326749966</v>
      </c>
      <c r="V21" s="18">
        <v>18239665</v>
      </c>
      <c r="W21" s="13">
        <v>0</v>
      </c>
      <c r="X21" s="13">
        <v>0</v>
      </c>
      <c r="Y21" s="13">
        <f t="shared" si="1"/>
        <v>0</v>
      </c>
      <c r="Z21" s="13"/>
      <c r="AA21" s="28"/>
      <c r="AB21" s="25"/>
    </row>
    <row r="22" spans="2:28" s="14" customFormat="1">
      <c r="B22" s="11">
        <v>12</v>
      </c>
      <c r="C22" s="12" t="s">
        <v>83</v>
      </c>
      <c r="D22" s="12" t="s">
        <v>84</v>
      </c>
      <c r="E22" s="12" t="s">
        <v>85</v>
      </c>
      <c r="F22" s="27" t="s">
        <v>38</v>
      </c>
      <c r="G22" s="11">
        <v>2025</v>
      </c>
      <c r="H22" s="16">
        <v>45797</v>
      </c>
      <c r="I22" s="16">
        <v>47623</v>
      </c>
      <c r="J22" s="11">
        <v>2934</v>
      </c>
      <c r="K22" s="12" t="s">
        <v>86</v>
      </c>
      <c r="L22" s="16">
        <v>45982</v>
      </c>
      <c r="M22" s="12" t="s">
        <v>56</v>
      </c>
      <c r="N22" s="11" t="s">
        <v>41</v>
      </c>
      <c r="O22" s="24">
        <v>20209458</v>
      </c>
      <c r="P22" s="2">
        <v>100</v>
      </c>
      <c r="Q22" s="24">
        <v>20209458</v>
      </c>
      <c r="R22" s="24">
        <v>13792955.085000001</v>
      </c>
      <c r="S22" s="24">
        <v>5911266</v>
      </c>
      <c r="T22" s="24">
        <v>0</v>
      </c>
      <c r="U22" s="24">
        <v>505236.91499999911</v>
      </c>
      <c r="V22" s="18">
        <v>5733928</v>
      </c>
      <c r="W22" s="13">
        <v>0</v>
      </c>
      <c r="X22" s="13">
        <v>0</v>
      </c>
      <c r="Y22" s="13">
        <f t="shared" si="1"/>
        <v>0</v>
      </c>
      <c r="Z22" s="13"/>
      <c r="AA22" s="28"/>
      <c r="AB22" s="25"/>
    </row>
    <row r="23" spans="2:28" s="14" customFormat="1">
      <c r="B23" s="11">
        <v>13</v>
      </c>
      <c r="C23" s="12" t="s">
        <v>87</v>
      </c>
      <c r="D23" s="12" t="s">
        <v>88</v>
      </c>
      <c r="E23" s="12" t="s">
        <v>89</v>
      </c>
      <c r="F23" s="27" t="s">
        <v>38</v>
      </c>
      <c r="G23" s="11">
        <v>2025</v>
      </c>
      <c r="H23" s="16">
        <v>45888</v>
      </c>
      <c r="I23" s="16">
        <v>46253</v>
      </c>
      <c r="J23" s="11">
        <v>2761</v>
      </c>
      <c r="K23" s="12" t="s">
        <v>90</v>
      </c>
      <c r="L23" s="16">
        <v>45929</v>
      </c>
      <c r="M23" s="12" t="s">
        <v>56</v>
      </c>
      <c r="N23" s="11" t="s">
        <v>41</v>
      </c>
      <c r="O23" s="24">
        <v>33380000</v>
      </c>
      <c r="P23" s="2">
        <v>100</v>
      </c>
      <c r="Q23" s="24">
        <v>33380000</v>
      </c>
      <c r="R23" s="24">
        <v>22803791.2279425</v>
      </c>
      <c r="S23" s="24">
        <v>9773052</v>
      </c>
      <c r="T23" s="24">
        <v>0</v>
      </c>
      <c r="U23" s="24">
        <v>803156.77205749974</v>
      </c>
      <c r="V23" s="18">
        <v>9479861</v>
      </c>
      <c r="W23" s="13">
        <v>0</v>
      </c>
      <c r="X23" s="13">
        <v>10676000</v>
      </c>
      <c r="Y23" s="13">
        <f t="shared" si="1"/>
        <v>10355720</v>
      </c>
      <c r="Z23" s="13"/>
      <c r="AA23" s="28"/>
      <c r="AB23" s="25"/>
    </row>
    <row r="24" spans="2:28" s="14" customFormat="1">
      <c r="B24" s="11">
        <v>14</v>
      </c>
      <c r="C24" s="12" t="s">
        <v>91</v>
      </c>
      <c r="D24" s="12" t="s">
        <v>92</v>
      </c>
      <c r="E24" s="12" t="s">
        <v>93</v>
      </c>
      <c r="F24" s="27" t="s">
        <v>38</v>
      </c>
      <c r="G24" s="11">
        <v>2025</v>
      </c>
      <c r="H24" s="16">
        <v>45071</v>
      </c>
      <c r="I24" s="16">
        <v>46167</v>
      </c>
      <c r="J24" s="11">
        <v>261</v>
      </c>
      <c r="K24" s="12" t="s">
        <v>94</v>
      </c>
      <c r="L24" s="16">
        <v>45916</v>
      </c>
      <c r="M24" s="12" t="s">
        <v>56</v>
      </c>
      <c r="N24" s="11" t="s">
        <v>41</v>
      </c>
      <c r="O24" s="24">
        <v>37440355</v>
      </c>
      <c r="P24" s="2">
        <v>100</v>
      </c>
      <c r="Q24" s="24">
        <v>37440355</v>
      </c>
      <c r="R24" s="24">
        <v>25553042.287500001</v>
      </c>
      <c r="S24" s="24">
        <v>10951304</v>
      </c>
      <c r="T24" s="24">
        <v>0</v>
      </c>
      <c r="U24" s="24">
        <v>936008.71249999851</v>
      </c>
      <c r="V24" s="18">
        <v>10622765</v>
      </c>
      <c r="W24" s="13">
        <v>0</v>
      </c>
      <c r="X24" s="13">
        <v>0</v>
      </c>
      <c r="Y24" s="13">
        <f t="shared" si="1"/>
        <v>0</v>
      </c>
      <c r="Z24" s="13"/>
      <c r="AA24" s="28"/>
      <c r="AB24" s="25"/>
    </row>
    <row r="25" spans="2:28" s="14" customFormat="1">
      <c r="B25" s="11">
        <v>15</v>
      </c>
      <c r="C25" s="12" t="s">
        <v>95</v>
      </c>
      <c r="D25" s="12" t="s">
        <v>96</v>
      </c>
      <c r="E25" s="12" t="s">
        <v>97</v>
      </c>
      <c r="F25" s="27" t="s">
        <v>38</v>
      </c>
      <c r="G25" s="11">
        <v>2023</v>
      </c>
      <c r="H25" s="16">
        <v>44957</v>
      </c>
      <c r="I25" s="16">
        <v>45322</v>
      </c>
      <c r="J25" s="11">
        <v>29385</v>
      </c>
      <c r="K25" s="12" t="s">
        <v>98</v>
      </c>
      <c r="L25" s="16">
        <v>45300</v>
      </c>
      <c r="M25" s="12" t="s">
        <v>56</v>
      </c>
      <c r="N25" s="11" t="s">
        <v>41</v>
      </c>
      <c r="O25" s="24">
        <v>40354496.219999999</v>
      </c>
      <c r="P25" s="2">
        <v>100</v>
      </c>
      <c r="Q25" s="24">
        <v>40354496.219999999</v>
      </c>
      <c r="R25" s="24">
        <v>17935331.653333299</v>
      </c>
      <c r="S25" s="24">
        <v>0</v>
      </c>
      <c r="T25" s="24">
        <v>22194972</v>
      </c>
      <c r="U25" s="24">
        <v>224192.56666669995</v>
      </c>
      <c r="V25" s="18">
        <v>0</v>
      </c>
      <c r="W25" s="13">
        <v>16868179</v>
      </c>
      <c r="X25" s="13">
        <v>0</v>
      </c>
      <c r="Y25" s="13">
        <f t="shared" si="0"/>
        <v>0</v>
      </c>
      <c r="Z25" s="13"/>
      <c r="AA25" s="28"/>
      <c r="AB25" s="25"/>
    </row>
    <row r="26" spans="2:28" s="14" customFormat="1">
      <c r="B26" s="11">
        <v>16</v>
      </c>
      <c r="C26" s="12" t="s">
        <v>99</v>
      </c>
      <c r="D26" s="12" t="s">
        <v>100</v>
      </c>
      <c r="E26" s="12" t="s">
        <v>101</v>
      </c>
      <c r="F26" s="27" t="s">
        <v>38</v>
      </c>
      <c r="G26" s="11">
        <v>2025</v>
      </c>
      <c r="H26" s="16">
        <v>44826</v>
      </c>
      <c r="I26" s="16">
        <v>46468</v>
      </c>
      <c r="J26" s="11">
        <v>29371</v>
      </c>
      <c r="K26" s="12" t="s">
        <v>102</v>
      </c>
      <c r="L26" s="16">
        <v>45926</v>
      </c>
      <c r="M26" s="12" t="s">
        <v>56</v>
      </c>
      <c r="N26" s="11" t="s">
        <v>41</v>
      </c>
      <c r="O26" s="24">
        <v>8844400</v>
      </c>
      <c r="P26" s="2">
        <v>100</v>
      </c>
      <c r="Q26" s="24">
        <v>8844400</v>
      </c>
      <c r="R26" s="24">
        <v>6036303</v>
      </c>
      <c r="S26" s="24">
        <v>2586987</v>
      </c>
      <c r="T26" s="24">
        <v>0</v>
      </c>
      <c r="U26" s="24">
        <v>221110</v>
      </c>
      <c r="V26" s="18">
        <v>2509377</v>
      </c>
      <c r="W26" s="13">
        <v>0</v>
      </c>
      <c r="X26" s="13">
        <v>0</v>
      </c>
      <c r="Y26" s="13">
        <f t="shared" ref="Y26:Y29" si="2">X26*97%</f>
        <v>0</v>
      </c>
      <c r="Z26" s="13"/>
      <c r="AA26" s="28"/>
      <c r="AB26" s="25"/>
    </row>
    <row r="27" spans="2:28" s="14" customFormat="1">
      <c r="B27" s="11">
        <v>17</v>
      </c>
      <c r="C27" s="12" t="s">
        <v>103</v>
      </c>
      <c r="D27" s="12" t="s">
        <v>104</v>
      </c>
      <c r="E27" s="12" t="s">
        <v>105</v>
      </c>
      <c r="F27" s="27" t="s">
        <v>38</v>
      </c>
      <c r="G27" s="11">
        <v>2025</v>
      </c>
      <c r="H27" s="16">
        <v>45746</v>
      </c>
      <c r="I27" s="16">
        <v>46111</v>
      </c>
      <c r="J27" s="11">
        <v>29371</v>
      </c>
      <c r="K27" s="12" t="s">
        <v>39</v>
      </c>
      <c r="L27" s="16">
        <v>45778</v>
      </c>
      <c r="M27" s="12" t="s">
        <v>46</v>
      </c>
      <c r="N27" s="11" t="s">
        <v>41</v>
      </c>
      <c r="O27" s="24">
        <v>0</v>
      </c>
      <c r="P27" s="2">
        <v>10</v>
      </c>
      <c r="Q27" s="24">
        <v>0</v>
      </c>
      <c r="R27" s="24">
        <v>-1.2223608791828201E-9</v>
      </c>
      <c r="S27" s="24">
        <v>2546154</v>
      </c>
      <c r="T27" s="24">
        <v>0</v>
      </c>
      <c r="U27" s="24">
        <v>-2546153.9999999986</v>
      </c>
      <c r="V27" s="18">
        <v>2469769</v>
      </c>
      <c r="W27" s="13">
        <v>0</v>
      </c>
      <c r="X27" s="13">
        <v>0</v>
      </c>
      <c r="Y27" s="13">
        <f t="shared" si="2"/>
        <v>0</v>
      </c>
      <c r="Z27" s="13"/>
      <c r="AA27" s="28"/>
      <c r="AB27" s="25"/>
    </row>
    <row r="28" spans="2:28" s="14" customFormat="1">
      <c r="B28" s="11">
        <v>18</v>
      </c>
      <c r="C28" s="12" t="s">
        <v>103</v>
      </c>
      <c r="D28" s="12" t="s">
        <v>104</v>
      </c>
      <c r="E28" s="12" t="s">
        <v>105</v>
      </c>
      <c r="F28" s="27" t="s">
        <v>38</v>
      </c>
      <c r="G28" s="11">
        <v>2025</v>
      </c>
      <c r="H28" s="16">
        <v>45746</v>
      </c>
      <c r="I28" s="16">
        <v>46111</v>
      </c>
      <c r="J28" s="11">
        <v>29371</v>
      </c>
      <c r="K28" s="12" t="s">
        <v>39</v>
      </c>
      <c r="L28" s="16">
        <v>45790</v>
      </c>
      <c r="M28" s="12" t="s">
        <v>46</v>
      </c>
      <c r="N28" s="11" t="s">
        <v>41</v>
      </c>
      <c r="O28" s="24">
        <v>0</v>
      </c>
      <c r="P28" s="2">
        <v>10</v>
      </c>
      <c r="Q28" s="24">
        <v>0</v>
      </c>
      <c r="R28" s="24">
        <v>-1.2223608791828201E-9</v>
      </c>
      <c r="S28" s="24">
        <v>-2546154</v>
      </c>
      <c r="T28" s="24">
        <v>0</v>
      </c>
      <c r="U28" s="24">
        <v>2546154.0000000014</v>
      </c>
      <c r="V28" s="18">
        <v>-2469769</v>
      </c>
      <c r="W28" s="13">
        <v>0</v>
      </c>
      <c r="X28" s="13">
        <v>0</v>
      </c>
      <c r="Y28" s="13">
        <f t="shared" si="2"/>
        <v>0</v>
      </c>
      <c r="Z28" s="13"/>
      <c r="AA28" s="28"/>
      <c r="AB28" s="25"/>
    </row>
    <row r="29" spans="2:28" s="14" customFormat="1">
      <c r="B29" s="11">
        <v>19</v>
      </c>
      <c r="C29" s="12" t="s">
        <v>106</v>
      </c>
      <c r="D29" s="12" t="s">
        <v>107</v>
      </c>
      <c r="E29" s="12" t="s">
        <v>108</v>
      </c>
      <c r="F29" s="27" t="s">
        <v>38</v>
      </c>
      <c r="G29" s="11">
        <v>2025</v>
      </c>
      <c r="H29" s="16">
        <v>45746</v>
      </c>
      <c r="I29" s="16">
        <v>46111</v>
      </c>
      <c r="J29" s="11">
        <v>29371</v>
      </c>
      <c r="K29" s="12" t="s">
        <v>39</v>
      </c>
      <c r="L29" s="16">
        <v>45896</v>
      </c>
      <c r="M29" s="12" t="s">
        <v>46</v>
      </c>
      <c r="N29" s="11" t="s">
        <v>41</v>
      </c>
      <c r="O29" s="24">
        <v>4857000</v>
      </c>
      <c r="P29" s="2">
        <v>10</v>
      </c>
      <c r="Q29" s="24">
        <v>485700</v>
      </c>
      <c r="R29" s="24">
        <v>331490.25</v>
      </c>
      <c r="S29" s="24">
        <v>142067</v>
      </c>
      <c r="T29" s="24">
        <v>0</v>
      </c>
      <c r="U29" s="24">
        <v>12142.75</v>
      </c>
      <c r="V29" s="18">
        <v>137805</v>
      </c>
      <c r="W29" s="13">
        <v>0</v>
      </c>
      <c r="X29" s="13">
        <v>0</v>
      </c>
      <c r="Y29" s="13">
        <f t="shared" si="2"/>
        <v>0</v>
      </c>
      <c r="Z29" s="13"/>
      <c r="AA29" s="28"/>
      <c r="AB29" s="25"/>
    </row>
    <row r="30" spans="2:28" s="14" customFormat="1">
      <c r="B30" s="11">
        <v>20</v>
      </c>
      <c r="C30" s="12" t="s">
        <v>109</v>
      </c>
      <c r="D30" s="12" t="s">
        <v>110</v>
      </c>
      <c r="E30" s="12" t="s">
        <v>111</v>
      </c>
      <c r="F30" s="27" t="s">
        <v>38</v>
      </c>
      <c r="G30" s="11">
        <v>2023</v>
      </c>
      <c r="H30" s="16">
        <v>45200</v>
      </c>
      <c r="I30" s="16">
        <v>45566</v>
      </c>
      <c r="J30" s="11">
        <v>21121</v>
      </c>
      <c r="K30" s="12" t="s">
        <v>112</v>
      </c>
      <c r="L30" s="16">
        <v>45206</v>
      </c>
      <c r="M30" s="12" t="s">
        <v>46</v>
      </c>
      <c r="N30" s="11" t="s">
        <v>41</v>
      </c>
      <c r="O30" s="24">
        <v>5982032723</v>
      </c>
      <c r="P30" s="2">
        <v>15.75</v>
      </c>
      <c r="Q30" s="24">
        <v>942170153.87249994</v>
      </c>
      <c r="R30" s="24">
        <v>22479025.369646199</v>
      </c>
      <c r="S30" s="24">
        <v>0</v>
      </c>
      <c r="T30" s="24">
        <v>321443600</v>
      </c>
      <c r="U30" s="24">
        <v>598247528.50285375</v>
      </c>
      <c r="V30" s="18">
        <v>0</v>
      </c>
      <c r="W30" s="13">
        <v>244297136</v>
      </c>
      <c r="X30" s="13">
        <v>14295954846.127501</v>
      </c>
      <c r="Y30" s="13">
        <f t="shared" si="0"/>
        <v>10864925683.0569</v>
      </c>
      <c r="Z30" s="13"/>
      <c r="AA30" s="28"/>
      <c r="AB30" s="25"/>
    </row>
    <row r="31" spans="2:28" s="14" customFormat="1">
      <c r="B31" s="11">
        <v>21</v>
      </c>
      <c r="C31" s="12" t="s">
        <v>113</v>
      </c>
      <c r="D31" s="12" t="s">
        <v>114</v>
      </c>
      <c r="E31" s="12" t="s">
        <v>115</v>
      </c>
      <c r="F31" s="27" t="s">
        <v>38</v>
      </c>
      <c r="G31" s="11">
        <v>2023</v>
      </c>
      <c r="H31" s="16">
        <v>45139</v>
      </c>
      <c r="I31" s="16">
        <v>45505</v>
      </c>
      <c r="J31" s="11">
        <v>23002</v>
      </c>
      <c r="K31" s="12" t="s">
        <v>116</v>
      </c>
      <c r="L31" s="16">
        <v>45365</v>
      </c>
      <c r="M31" s="12" t="s">
        <v>46</v>
      </c>
      <c r="N31" s="11" t="s">
        <v>41</v>
      </c>
      <c r="O31" s="24">
        <v>824394527.60000193</v>
      </c>
      <c r="P31" s="2">
        <v>10</v>
      </c>
      <c r="Q31" s="24">
        <v>82439452.760000199</v>
      </c>
      <c r="R31" s="24">
        <v>32393772.982743401</v>
      </c>
      <c r="S31" s="24">
        <v>0</v>
      </c>
      <c r="T31" s="24">
        <v>49991691.000000201</v>
      </c>
      <c r="U31" s="24">
        <v>53988.777256600559</v>
      </c>
      <c r="V31" s="18">
        <v>0</v>
      </c>
      <c r="W31" s="13">
        <v>37993685</v>
      </c>
      <c r="X31" s="13">
        <v>872977276.39999998</v>
      </c>
      <c r="Y31" s="13">
        <f t="shared" si="0"/>
        <v>663462730.06400001</v>
      </c>
      <c r="Z31" s="13"/>
      <c r="AA31" s="28"/>
      <c r="AB31" s="25"/>
    </row>
    <row r="32" spans="2:28" s="14" customFormat="1">
      <c r="B32" s="11">
        <v>22</v>
      </c>
      <c r="C32" s="12" t="s">
        <v>117</v>
      </c>
      <c r="D32" s="12" t="s">
        <v>118</v>
      </c>
      <c r="E32" s="12" t="s">
        <v>119</v>
      </c>
      <c r="F32" s="27" t="s">
        <v>38</v>
      </c>
      <c r="G32" s="11">
        <v>2023</v>
      </c>
      <c r="H32" s="16">
        <v>45230</v>
      </c>
      <c r="I32" s="16">
        <v>45596</v>
      </c>
      <c r="J32" s="11">
        <v>2761</v>
      </c>
      <c r="K32" s="12" t="s">
        <v>120</v>
      </c>
      <c r="L32" s="16">
        <v>45464</v>
      </c>
      <c r="M32" s="12" t="s">
        <v>46</v>
      </c>
      <c r="N32" s="11" t="s">
        <v>41</v>
      </c>
      <c r="O32" s="24">
        <v>12658392.979999999</v>
      </c>
      <c r="P32" s="2">
        <v>10</v>
      </c>
      <c r="Q32" s="24">
        <v>1265839.298</v>
      </c>
      <c r="R32" s="24">
        <v>170802.09674460499</v>
      </c>
      <c r="S32" s="24">
        <v>0</v>
      </c>
      <c r="T32" s="24">
        <v>1094829</v>
      </c>
      <c r="U32" s="24">
        <v>208.20125539507717</v>
      </c>
      <c r="V32" s="18">
        <v>0</v>
      </c>
      <c r="W32" s="13">
        <v>832069</v>
      </c>
      <c r="X32" s="13">
        <v>0</v>
      </c>
      <c r="Y32" s="13">
        <f t="shared" si="0"/>
        <v>0</v>
      </c>
      <c r="Z32" s="13"/>
      <c r="AA32" s="28"/>
      <c r="AB32" s="25"/>
    </row>
    <row r="33" spans="2:28" s="14" customFormat="1">
      <c r="B33" s="11">
        <v>23</v>
      </c>
      <c r="C33" s="12" t="s">
        <v>121</v>
      </c>
      <c r="D33" s="12" t="s">
        <v>122</v>
      </c>
      <c r="E33" s="12" t="s">
        <v>123</v>
      </c>
      <c r="F33" s="27" t="s">
        <v>38</v>
      </c>
      <c r="G33" s="11">
        <v>2023</v>
      </c>
      <c r="H33" s="16">
        <v>45260</v>
      </c>
      <c r="I33" s="16">
        <v>45626</v>
      </c>
      <c r="J33" s="11">
        <v>29412</v>
      </c>
      <c r="K33" s="12" t="s">
        <v>124</v>
      </c>
      <c r="L33" s="16">
        <v>45604</v>
      </c>
      <c r="M33" s="12" t="s">
        <v>46</v>
      </c>
      <c r="N33" s="11" t="s">
        <v>41</v>
      </c>
      <c r="O33" s="24">
        <v>34323797.399999999</v>
      </c>
      <c r="P33" s="2">
        <v>5</v>
      </c>
      <c r="Q33" s="24">
        <v>1716189.87</v>
      </c>
      <c r="R33" s="24">
        <v>478803.08844043501</v>
      </c>
      <c r="S33" s="24">
        <v>0</v>
      </c>
      <c r="T33" s="24">
        <v>1236989</v>
      </c>
      <c r="U33" s="24">
        <v>397.78155956510454</v>
      </c>
      <c r="V33" s="18">
        <v>0</v>
      </c>
      <c r="W33" s="13">
        <v>940111</v>
      </c>
      <c r="X33" s="13">
        <v>0</v>
      </c>
      <c r="Y33" s="13">
        <f t="shared" si="0"/>
        <v>0</v>
      </c>
      <c r="Z33" s="13"/>
      <c r="AA33" s="28"/>
      <c r="AB33" s="25"/>
    </row>
    <row r="34" spans="2:28" s="14" customFormat="1">
      <c r="B34" s="11">
        <v>24</v>
      </c>
      <c r="C34" s="12" t="s">
        <v>125</v>
      </c>
      <c r="D34" s="12" t="s">
        <v>126</v>
      </c>
      <c r="E34" s="12" t="s">
        <v>127</v>
      </c>
      <c r="F34" s="27" t="s">
        <v>38</v>
      </c>
      <c r="G34" s="11">
        <v>2024</v>
      </c>
      <c r="H34" s="16">
        <v>45596</v>
      </c>
      <c r="I34" s="16">
        <v>45961</v>
      </c>
      <c r="J34" s="11">
        <v>2761</v>
      </c>
      <c r="K34" s="12" t="s">
        <v>120</v>
      </c>
      <c r="L34" s="16">
        <v>45603</v>
      </c>
      <c r="M34" s="12" t="s">
        <v>46</v>
      </c>
      <c r="N34" s="11" t="s">
        <v>41</v>
      </c>
      <c r="O34" s="24">
        <v>448519305.20999998</v>
      </c>
      <c r="P34" s="2">
        <v>10</v>
      </c>
      <c r="Q34" s="24">
        <v>44851930.520999998</v>
      </c>
      <c r="R34" s="24">
        <v>19967504.049656902</v>
      </c>
      <c r="S34" s="24">
        <v>0</v>
      </c>
      <c r="T34" s="24">
        <v>14136534</v>
      </c>
      <c r="U34" s="24">
        <v>10747892.471343096</v>
      </c>
      <c r="V34" s="18">
        <v>0</v>
      </c>
      <c r="W34" s="13">
        <v>12864245</v>
      </c>
      <c r="X34" s="13">
        <v>0</v>
      </c>
      <c r="Y34" s="13">
        <f t="shared" ref="Y34:Y38" si="3">X34*91%</f>
        <v>0</v>
      </c>
      <c r="Z34" s="13"/>
      <c r="AA34" s="28"/>
      <c r="AB34" s="25"/>
    </row>
    <row r="35" spans="2:28" s="14" customFormat="1">
      <c r="B35" s="11">
        <v>25</v>
      </c>
      <c r="C35" s="12" t="s">
        <v>128</v>
      </c>
      <c r="D35" s="12" t="s">
        <v>126</v>
      </c>
      <c r="E35" s="12" t="s">
        <v>127</v>
      </c>
      <c r="F35" s="27" t="s">
        <v>38</v>
      </c>
      <c r="G35" s="11">
        <v>2024</v>
      </c>
      <c r="H35" s="16">
        <v>45596</v>
      </c>
      <c r="I35" s="16">
        <v>45961</v>
      </c>
      <c r="J35" s="11">
        <v>2761</v>
      </c>
      <c r="K35" s="12" t="s">
        <v>120</v>
      </c>
      <c r="L35" s="16">
        <v>45599</v>
      </c>
      <c r="M35" s="12" t="s">
        <v>46</v>
      </c>
      <c r="N35" s="11" t="s">
        <v>41</v>
      </c>
      <c r="O35" s="24">
        <v>448519305.20999998</v>
      </c>
      <c r="P35" s="2">
        <v>10</v>
      </c>
      <c r="Q35" s="24">
        <v>44851930.520999998</v>
      </c>
      <c r="R35" s="24">
        <v>19967504.049656902</v>
      </c>
      <c r="S35" s="24">
        <v>0</v>
      </c>
      <c r="T35" s="24">
        <v>2436332</v>
      </c>
      <c r="U35" s="24">
        <v>22448094.471343096</v>
      </c>
      <c r="V35" s="18">
        <v>0</v>
      </c>
      <c r="W35" s="13">
        <v>2217061</v>
      </c>
      <c r="X35" s="13">
        <v>0</v>
      </c>
      <c r="Y35" s="13">
        <f t="shared" si="3"/>
        <v>0</v>
      </c>
      <c r="Z35" s="13"/>
      <c r="AA35" s="28"/>
      <c r="AB35" s="25"/>
    </row>
    <row r="36" spans="2:28" s="14" customFormat="1">
      <c r="B36" s="11">
        <v>26</v>
      </c>
      <c r="C36" s="12" t="s">
        <v>129</v>
      </c>
      <c r="D36" s="12" t="s">
        <v>126</v>
      </c>
      <c r="E36" s="12" t="s">
        <v>127</v>
      </c>
      <c r="F36" s="27" t="s">
        <v>38</v>
      </c>
      <c r="G36" s="11">
        <v>2024</v>
      </c>
      <c r="H36" s="16">
        <v>45596</v>
      </c>
      <c r="I36" s="16">
        <v>45961</v>
      </c>
      <c r="J36" s="11">
        <v>2761</v>
      </c>
      <c r="K36" s="12" t="s">
        <v>120</v>
      </c>
      <c r="L36" s="16">
        <v>45676</v>
      </c>
      <c r="M36" s="12" t="s">
        <v>46</v>
      </c>
      <c r="N36" s="11" t="s">
        <v>41</v>
      </c>
      <c r="O36" s="24">
        <v>448519305.20999998</v>
      </c>
      <c r="P36" s="2">
        <v>10</v>
      </c>
      <c r="Q36" s="24">
        <v>44851930.520999998</v>
      </c>
      <c r="R36" s="24">
        <v>19967504.049656902</v>
      </c>
      <c r="S36" s="24">
        <v>0</v>
      </c>
      <c r="T36" s="24">
        <v>4404096</v>
      </c>
      <c r="U36" s="24">
        <v>20480330.471343096</v>
      </c>
      <c r="V36" s="18">
        <v>0</v>
      </c>
      <c r="W36" s="13">
        <v>4007727</v>
      </c>
      <c r="X36" s="13">
        <v>0</v>
      </c>
      <c r="Y36" s="13">
        <f t="shared" si="3"/>
        <v>0</v>
      </c>
      <c r="Z36" s="13"/>
      <c r="AA36" s="28"/>
      <c r="AB36" s="25"/>
    </row>
    <row r="37" spans="2:28" s="14" customFormat="1">
      <c r="B37" s="11">
        <v>27</v>
      </c>
      <c r="C37" s="12" t="s">
        <v>130</v>
      </c>
      <c r="D37" s="12" t="s">
        <v>126</v>
      </c>
      <c r="E37" s="12" t="s">
        <v>127</v>
      </c>
      <c r="F37" s="27" t="s">
        <v>38</v>
      </c>
      <c r="G37" s="11">
        <v>2024</v>
      </c>
      <c r="H37" s="16">
        <v>45596</v>
      </c>
      <c r="I37" s="16">
        <v>45961</v>
      </c>
      <c r="J37" s="11">
        <v>2761</v>
      </c>
      <c r="K37" s="12" t="s">
        <v>120</v>
      </c>
      <c r="L37" s="16">
        <v>45696</v>
      </c>
      <c r="M37" s="12" t="s">
        <v>46</v>
      </c>
      <c r="N37" s="11" t="s">
        <v>41</v>
      </c>
      <c r="O37" s="24">
        <v>77334308.819999993</v>
      </c>
      <c r="P37" s="2">
        <v>10</v>
      </c>
      <c r="Q37" s="24">
        <v>7733430.8820000002</v>
      </c>
      <c r="R37" s="24">
        <v>3513199.6511543398</v>
      </c>
      <c r="S37" s="24">
        <v>0</v>
      </c>
      <c r="T37" s="24">
        <v>1728137</v>
      </c>
      <c r="U37" s="24">
        <v>2492094.23084566</v>
      </c>
      <c r="V37" s="18">
        <v>0</v>
      </c>
      <c r="W37" s="13">
        <v>1572604</v>
      </c>
      <c r="X37" s="13">
        <v>0</v>
      </c>
      <c r="Y37" s="13">
        <f t="shared" si="3"/>
        <v>0</v>
      </c>
      <c r="Z37" s="13"/>
      <c r="AA37" s="28"/>
      <c r="AB37" s="25"/>
    </row>
    <row r="38" spans="2:28" s="14" customFormat="1">
      <c r="B38" s="11">
        <v>28</v>
      </c>
      <c r="C38" s="12" t="s">
        <v>131</v>
      </c>
      <c r="D38" s="12" t="s">
        <v>132</v>
      </c>
      <c r="E38" s="12" t="s">
        <v>133</v>
      </c>
      <c r="F38" s="27" t="s">
        <v>38</v>
      </c>
      <c r="G38" s="11">
        <v>2024</v>
      </c>
      <c r="H38" s="16">
        <v>45626</v>
      </c>
      <c r="I38" s="16">
        <v>45991</v>
      </c>
      <c r="J38" s="11">
        <v>2751</v>
      </c>
      <c r="K38" s="12" t="s">
        <v>134</v>
      </c>
      <c r="L38" s="16">
        <v>45694</v>
      </c>
      <c r="M38" s="12" t="s">
        <v>46</v>
      </c>
      <c r="N38" s="11" t="s">
        <v>41</v>
      </c>
      <c r="O38" s="24">
        <v>41832847</v>
      </c>
      <c r="P38" s="2">
        <v>5</v>
      </c>
      <c r="Q38" s="24">
        <v>2091642.35</v>
      </c>
      <c r="R38" s="24">
        <v>855175.21880071703</v>
      </c>
      <c r="S38" s="24">
        <v>0</v>
      </c>
      <c r="T38" s="24">
        <v>74661</v>
      </c>
      <c r="U38" s="24">
        <v>1161806.1311992831</v>
      </c>
      <c r="V38" s="18">
        <v>0</v>
      </c>
      <c r="W38" s="13">
        <v>67942</v>
      </c>
      <c r="X38" s="13">
        <v>0</v>
      </c>
      <c r="Y38" s="13">
        <f t="shared" si="3"/>
        <v>0</v>
      </c>
      <c r="Z38" s="13"/>
      <c r="AA38" s="28"/>
      <c r="AB38" s="25"/>
    </row>
    <row r="39" spans="2:28" s="14" customFormat="1">
      <c r="B39" s="11">
        <v>29</v>
      </c>
      <c r="C39" s="12" t="s">
        <v>135</v>
      </c>
      <c r="D39" s="12" t="s">
        <v>136</v>
      </c>
      <c r="E39" s="12" t="s">
        <v>137</v>
      </c>
      <c r="F39" s="27" t="s">
        <v>38</v>
      </c>
      <c r="G39" s="11">
        <v>2025</v>
      </c>
      <c r="H39" s="16">
        <v>45717</v>
      </c>
      <c r="I39" s="16">
        <v>46082</v>
      </c>
      <c r="J39" s="11">
        <v>236</v>
      </c>
      <c r="K39" s="12" t="s">
        <v>138</v>
      </c>
      <c r="L39" s="16">
        <v>45723</v>
      </c>
      <c r="M39" s="12" t="s">
        <v>46</v>
      </c>
      <c r="N39" s="11" t="s">
        <v>139</v>
      </c>
      <c r="O39" s="24">
        <v>3179.05</v>
      </c>
      <c r="P39" s="2">
        <v>7.5</v>
      </c>
      <c r="Q39" s="24">
        <v>238.42875000000001</v>
      </c>
      <c r="R39" s="24">
        <v>35.773255813952701</v>
      </c>
      <c r="S39" s="24">
        <v>15.33</v>
      </c>
      <c r="T39" s="24">
        <v>0</v>
      </c>
      <c r="U39" s="24">
        <v>187.32549418604728</v>
      </c>
      <c r="V39" s="18">
        <v>14.87</v>
      </c>
      <c r="W39" s="13">
        <v>0</v>
      </c>
      <c r="X39" s="13">
        <v>0</v>
      </c>
      <c r="Y39" s="13">
        <f t="shared" ref="Y39:Y40" si="4">X39*97%</f>
        <v>0</v>
      </c>
      <c r="Z39" s="13"/>
      <c r="AA39" s="28"/>
      <c r="AB39" s="25"/>
    </row>
    <row r="40" spans="2:28" s="14" customFormat="1">
      <c r="B40" s="11">
        <v>30</v>
      </c>
      <c r="C40" s="12" t="s">
        <v>135</v>
      </c>
      <c r="D40" s="12" t="s">
        <v>136</v>
      </c>
      <c r="E40" s="12" t="s">
        <v>137</v>
      </c>
      <c r="F40" s="27" t="s">
        <v>38</v>
      </c>
      <c r="G40" s="11">
        <v>2025</v>
      </c>
      <c r="H40" s="16">
        <v>45717</v>
      </c>
      <c r="I40" s="16">
        <v>46082</v>
      </c>
      <c r="J40" s="11">
        <v>236</v>
      </c>
      <c r="K40" s="12" t="s">
        <v>138</v>
      </c>
      <c r="L40" s="16">
        <v>45723</v>
      </c>
      <c r="M40" s="12" t="s">
        <v>46</v>
      </c>
      <c r="N40" s="11" t="s">
        <v>139</v>
      </c>
      <c r="O40" s="24">
        <v>3179.05</v>
      </c>
      <c r="P40" s="2">
        <v>7.5</v>
      </c>
      <c r="Q40" s="24">
        <v>238.42875000000001</v>
      </c>
      <c r="R40" s="24">
        <v>35.773255813952701</v>
      </c>
      <c r="S40" s="24">
        <v>0</v>
      </c>
      <c r="T40" s="24">
        <v>187.3</v>
      </c>
      <c r="U40" s="24">
        <v>15.355494186047281</v>
      </c>
      <c r="V40" s="18">
        <v>0</v>
      </c>
      <c r="W40" s="13">
        <v>181.68</v>
      </c>
      <c r="X40" s="13">
        <v>0</v>
      </c>
      <c r="Y40" s="13">
        <f t="shared" si="4"/>
        <v>0</v>
      </c>
      <c r="Z40" s="13"/>
      <c r="AA40" s="28"/>
      <c r="AB40" s="25"/>
    </row>
    <row r="41" spans="2:28" s="14" customFormat="1">
      <c r="B41" s="11">
        <v>31</v>
      </c>
      <c r="C41" s="12" t="s">
        <v>140</v>
      </c>
      <c r="D41" s="12" t="s">
        <v>141</v>
      </c>
      <c r="E41" s="12" t="s">
        <v>142</v>
      </c>
      <c r="F41" s="27" t="s">
        <v>38</v>
      </c>
      <c r="G41" s="11">
        <v>2024</v>
      </c>
      <c r="H41" s="16">
        <v>45626</v>
      </c>
      <c r="I41" s="16">
        <v>45991</v>
      </c>
      <c r="J41" s="11">
        <v>29412</v>
      </c>
      <c r="K41" s="12" t="s">
        <v>143</v>
      </c>
      <c r="L41" s="16">
        <v>45779</v>
      </c>
      <c r="M41" s="12" t="s">
        <v>46</v>
      </c>
      <c r="N41" s="11" t="s">
        <v>41</v>
      </c>
      <c r="O41" s="24">
        <v>783216000</v>
      </c>
      <c r="P41" s="2">
        <v>5</v>
      </c>
      <c r="Q41" s="24">
        <v>39160800</v>
      </c>
      <c r="R41" s="24">
        <v>9104621.9659629706</v>
      </c>
      <c r="S41" s="24">
        <v>0</v>
      </c>
      <c r="T41" s="24">
        <v>30047073</v>
      </c>
      <c r="U41" s="24">
        <v>9105.0340370312333</v>
      </c>
      <c r="V41" s="18">
        <v>0</v>
      </c>
      <c r="W41" s="13">
        <v>27342837</v>
      </c>
      <c r="X41" s="13">
        <v>0</v>
      </c>
      <c r="Y41" s="13">
        <f t="shared" ref="Y41:Y45" si="5">X41*91%</f>
        <v>0</v>
      </c>
      <c r="Z41" s="13"/>
      <c r="AA41" s="28"/>
      <c r="AB41" s="25"/>
    </row>
    <row r="42" spans="2:28" s="14" customFormat="1">
      <c r="B42" s="11">
        <v>32</v>
      </c>
      <c r="C42" s="12" t="s">
        <v>144</v>
      </c>
      <c r="D42" s="12" t="s">
        <v>145</v>
      </c>
      <c r="E42" s="12" t="s">
        <v>146</v>
      </c>
      <c r="F42" s="27" t="s">
        <v>38</v>
      </c>
      <c r="G42" s="11">
        <v>2024</v>
      </c>
      <c r="H42" s="16">
        <v>45627</v>
      </c>
      <c r="I42" s="16">
        <v>45992</v>
      </c>
      <c r="J42" s="11">
        <v>2402</v>
      </c>
      <c r="K42" s="12" t="s">
        <v>147</v>
      </c>
      <c r="L42" s="16">
        <v>45762</v>
      </c>
      <c r="M42" s="12" t="s">
        <v>46</v>
      </c>
      <c r="N42" s="11" t="s">
        <v>139</v>
      </c>
      <c r="O42" s="24">
        <v>1200000</v>
      </c>
      <c r="P42" s="2">
        <v>10</v>
      </c>
      <c r="Q42" s="24">
        <v>120000</v>
      </c>
      <c r="R42" s="24">
        <v>40395.531671116303</v>
      </c>
      <c r="S42" s="24">
        <v>0</v>
      </c>
      <c r="T42" s="24">
        <v>79527.53</v>
      </c>
      <c r="U42" s="24">
        <v>76.938328883697977</v>
      </c>
      <c r="V42" s="18">
        <v>0</v>
      </c>
      <c r="W42" s="13">
        <v>72370.05</v>
      </c>
      <c r="X42" s="13">
        <v>3120750000</v>
      </c>
      <c r="Y42" s="13">
        <f t="shared" si="5"/>
        <v>2839882500</v>
      </c>
      <c r="Z42" s="13"/>
      <c r="AA42" s="28"/>
      <c r="AB42" s="25"/>
    </row>
    <row r="43" spans="2:28" s="14" customFormat="1">
      <c r="B43" s="11">
        <v>33</v>
      </c>
      <c r="C43" s="12" t="s">
        <v>148</v>
      </c>
      <c r="D43" s="12" t="s">
        <v>126</v>
      </c>
      <c r="E43" s="12" t="s">
        <v>127</v>
      </c>
      <c r="F43" s="27" t="s">
        <v>38</v>
      </c>
      <c r="G43" s="11">
        <v>2024</v>
      </c>
      <c r="H43" s="16">
        <v>45596</v>
      </c>
      <c r="I43" s="16">
        <v>45961</v>
      </c>
      <c r="J43" s="11">
        <v>2761</v>
      </c>
      <c r="K43" s="12" t="s">
        <v>120</v>
      </c>
      <c r="L43" s="16">
        <v>45793</v>
      </c>
      <c r="M43" s="12" t="s">
        <v>46</v>
      </c>
      <c r="N43" s="11" t="s">
        <v>41</v>
      </c>
      <c r="O43" s="24">
        <v>77334308.819999993</v>
      </c>
      <c r="P43" s="2">
        <v>10</v>
      </c>
      <c r="Q43" s="24">
        <v>7733430.8820000002</v>
      </c>
      <c r="R43" s="24">
        <v>3513199.6511543398</v>
      </c>
      <c r="S43" s="24">
        <v>0</v>
      </c>
      <c r="T43" s="24">
        <v>2122691</v>
      </c>
      <c r="U43" s="24">
        <v>2097540.23084566</v>
      </c>
      <c r="V43" s="18">
        <v>0</v>
      </c>
      <c r="W43" s="13">
        <v>1931648</v>
      </c>
      <c r="X43" s="13">
        <v>0</v>
      </c>
      <c r="Y43" s="13">
        <f t="shared" si="5"/>
        <v>0</v>
      </c>
      <c r="Z43" s="13"/>
      <c r="AA43" s="28"/>
      <c r="AB43" s="25"/>
    </row>
    <row r="44" spans="2:28" s="14" customFormat="1">
      <c r="B44" s="11">
        <v>34</v>
      </c>
      <c r="C44" s="12" t="s">
        <v>149</v>
      </c>
      <c r="D44" s="12" t="s">
        <v>126</v>
      </c>
      <c r="E44" s="12" t="s">
        <v>127</v>
      </c>
      <c r="F44" s="27" t="s">
        <v>38</v>
      </c>
      <c r="G44" s="11">
        <v>2024</v>
      </c>
      <c r="H44" s="16">
        <v>45596</v>
      </c>
      <c r="I44" s="16">
        <v>45961</v>
      </c>
      <c r="J44" s="11">
        <v>2761</v>
      </c>
      <c r="K44" s="12" t="s">
        <v>120</v>
      </c>
      <c r="L44" s="16">
        <v>45797</v>
      </c>
      <c r="M44" s="12" t="s">
        <v>46</v>
      </c>
      <c r="N44" s="11" t="s">
        <v>41</v>
      </c>
      <c r="O44" s="24">
        <v>7165485</v>
      </c>
      <c r="P44" s="2">
        <v>10</v>
      </c>
      <c r="Q44" s="24">
        <v>716548.5</v>
      </c>
      <c r="R44" s="24">
        <v>195076.88100652501</v>
      </c>
      <c r="S44" s="24">
        <v>0</v>
      </c>
      <c r="T44" s="24">
        <v>521211</v>
      </c>
      <c r="U44" s="24">
        <v>260.61899347498547</v>
      </c>
      <c r="V44" s="18">
        <v>0</v>
      </c>
      <c r="W44" s="13">
        <v>474302</v>
      </c>
      <c r="X44" s="13">
        <v>0</v>
      </c>
      <c r="Y44" s="13">
        <f t="shared" si="5"/>
        <v>0</v>
      </c>
      <c r="Z44" s="13"/>
      <c r="AA44" s="28"/>
      <c r="AB44" s="25"/>
    </row>
    <row r="45" spans="2:28" s="14" customFormat="1">
      <c r="B45" s="11">
        <v>35</v>
      </c>
      <c r="C45" s="12" t="s">
        <v>150</v>
      </c>
      <c r="D45" s="12" t="s">
        <v>151</v>
      </c>
      <c r="E45" s="12" t="s">
        <v>152</v>
      </c>
      <c r="F45" s="27" t="s">
        <v>38</v>
      </c>
      <c r="G45" s="11">
        <v>2024</v>
      </c>
      <c r="H45" s="16">
        <v>45627</v>
      </c>
      <c r="I45" s="16">
        <v>45992</v>
      </c>
      <c r="J45" s="11">
        <v>238</v>
      </c>
      <c r="K45" s="12" t="s">
        <v>153</v>
      </c>
      <c r="L45" s="16">
        <v>45817</v>
      </c>
      <c r="M45" s="12" t="s">
        <v>46</v>
      </c>
      <c r="N45" s="11" t="s">
        <v>41</v>
      </c>
      <c r="O45" s="24">
        <v>19433012</v>
      </c>
      <c r="P45" s="2">
        <v>10</v>
      </c>
      <c r="Q45" s="24">
        <v>1943301.2</v>
      </c>
      <c r="R45" s="24">
        <v>1261725.3480368699</v>
      </c>
      <c r="S45" s="24">
        <v>0</v>
      </c>
      <c r="T45" s="24">
        <v>679172.00000000105</v>
      </c>
      <c r="U45" s="24">
        <v>2403.851963129011</v>
      </c>
      <c r="V45" s="18">
        <v>0</v>
      </c>
      <c r="W45" s="13">
        <v>618047</v>
      </c>
      <c r="X45" s="13">
        <v>0</v>
      </c>
      <c r="Y45" s="13">
        <f t="shared" si="5"/>
        <v>0</v>
      </c>
      <c r="Z45" s="13"/>
      <c r="AA45" s="28"/>
      <c r="AB45" s="25"/>
    </row>
    <row r="46" spans="2:28" s="14" customFormat="1">
      <c r="B46" s="11">
        <v>36</v>
      </c>
      <c r="C46" s="12" t="s">
        <v>154</v>
      </c>
      <c r="D46" s="12" t="s">
        <v>155</v>
      </c>
      <c r="E46" s="12" t="s">
        <v>156</v>
      </c>
      <c r="F46" s="27" t="s">
        <v>38</v>
      </c>
      <c r="G46" s="11">
        <v>2025</v>
      </c>
      <c r="H46" s="16">
        <v>45837</v>
      </c>
      <c r="I46" s="16">
        <v>46202</v>
      </c>
      <c r="J46" s="11">
        <v>2972</v>
      </c>
      <c r="K46" s="12" t="s">
        <v>157</v>
      </c>
      <c r="L46" s="16">
        <v>45838</v>
      </c>
      <c r="M46" s="12" t="s">
        <v>46</v>
      </c>
      <c r="N46" s="11" t="s">
        <v>41</v>
      </c>
      <c r="O46" s="24">
        <v>74784000</v>
      </c>
      <c r="P46" s="2">
        <v>2.5</v>
      </c>
      <c r="Q46" s="24">
        <v>1869600</v>
      </c>
      <c r="R46" s="24">
        <v>520728.14430882502</v>
      </c>
      <c r="S46" s="24">
        <v>223169</v>
      </c>
      <c r="T46" s="24">
        <v>0</v>
      </c>
      <c r="U46" s="24">
        <v>1125702.855691175</v>
      </c>
      <c r="V46" s="18">
        <v>216474</v>
      </c>
      <c r="W46" s="13">
        <v>0</v>
      </c>
      <c r="X46" s="13">
        <v>0</v>
      </c>
      <c r="Y46" s="13">
        <f>X46*97%</f>
        <v>0</v>
      </c>
      <c r="Z46" s="13"/>
      <c r="AA46" s="28"/>
      <c r="AB46" s="25"/>
    </row>
    <row r="47" spans="2:28" s="14" customFormat="1">
      <c r="B47" s="11">
        <v>37</v>
      </c>
      <c r="C47" s="12" t="s">
        <v>158</v>
      </c>
      <c r="D47" s="12" t="s">
        <v>159</v>
      </c>
      <c r="E47" s="12" t="s">
        <v>160</v>
      </c>
      <c r="F47" s="27" t="s">
        <v>38</v>
      </c>
      <c r="G47" s="11">
        <v>2024</v>
      </c>
      <c r="H47" s="16">
        <v>45626</v>
      </c>
      <c r="I47" s="16">
        <v>45991</v>
      </c>
      <c r="J47" s="11">
        <v>2528</v>
      </c>
      <c r="K47" s="12" t="s">
        <v>161</v>
      </c>
      <c r="L47" s="16">
        <v>45866</v>
      </c>
      <c r="M47" s="12" t="s">
        <v>46</v>
      </c>
      <c r="N47" s="11" t="s">
        <v>41</v>
      </c>
      <c r="O47" s="24">
        <v>137776276.99999997</v>
      </c>
      <c r="P47" s="2">
        <v>5</v>
      </c>
      <c r="Q47" s="24">
        <v>6888813.8499999996</v>
      </c>
      <c r="R47" s="24">
        <v>1802174.9771092399</v>
      </c>
      <c r="S47" s="24">
        <v>0</v>
      </c>
      <c r="T47" s="24">
        <v>5084837</v>
      </c>
      <c r="U47" s="24">
        <v>1801.8728907592595</v>
      </c>
      <c r="V47" s="18">
        <v>0</v>
      </c>
      <c r="W47" s="13">
        <v>4627201</v>
      </c>
      <c r="X47" s="13">
        <v>9000000</v>
      </c>
      <c r="Y47" s="13">
        <f t="shared" ref="Y47:Y50" si="6">X47*91%</f>
        <v>8190000</v>
      </c>
      <c r="Z47" s="13"/>
      <c r="AA47" s="28"/>
      <c r="AB47" s="25"/>
    </row>
    <row r="48" spans="2:28" s="14" customFormat="1">
      <c r="B48" s="11">
        <v>38</v>
      </c>
      <c r="C48" s="12" t="s">
        <v>162</v>
      </c>
      <c r="D48" s="12" t="s">
        <v>132</v>
      </c>
      <c r="E48" s="12" t="s">
        <v>133</v>
      </c>
      <c r="F48" s="27" t="s">
        <v>38</v>
      </c>
      <c r="G48" s="11">
        <v>2024</v>
      </c>
      <c r="H48" s="16">
        <v>45626</v>
      </c>
      <c r="I48" s="16">
        <v>45991</v>
      </c>
      <c r="J48" s="11">
        <v>2751</v>
      </c>
      <c r="K48" s="12" t="s">
        <v>134</v>
      </c>
      <c r="L48" s="16">
        <v>45897</v>
      </c>
      <c r="M48" s="12" t="s">
        <v>46</v>
      </c>
      <c r="N48" s="11" t="s">
        <v>41</v>
      </c>
      <c r="O48" s="24">
        <v>41832847</v>
      </c>
      <c r="P48" s="2">
        <v>5</v>
      </c>
      <c r="Q48" s="24">
        <v>2091642.35</v>
      </c>
      <c r="R48" s="24">
        <v>855175.21880071703</v>
      </c>
      <c r="S48" s="24">
        <v>0</v>
      </c>
      <c r="T48" s="24">
        <v>123185</v>
      </c>
      <c r="U48" s="24">
        <v>1113282.1311992831</v>
      </c>
      <c r="V48" s="18">
        <v>0</v>
      </c>
      <c r="W48" s="13">
        <v>112098</v>
      </c>
      <c r="X48" s="13">
        <v>0</v>
      </c>
      <c r="Y48" s="13">
        <f t="shared" si="6"/>
        <v>0</v>
      </c>
      <c r="Z48" s="13"/>
      <c r="AA48" s="28"/>
      <c r="AB48" s="25"/>
    </row>
    <row r="49" spans="2:28" s="14" customFormat="1">
      <c r="B49" s="11">
        <v>39</v>
      </c>
      <c r="C49" s="12" t="s">
        <v>163</v>
      </c>
      <c r="D49" s="12" t="s">
        <v>132</v>
      </c>
      <c r="E49" s="12" t="s">
        <v>133</v>
      </c>
      <c r="F49" s="27" t="s">
        <v>38</v>
      </c>
      <c r="G49" s="11">
        <v>2024</v>
      </c>
      <c r="H49" s="16">
        <v>45626</v>
      </c>
      <c r="I49" s="16">
        <v>45991</v>
      </c>
      <c r="J49" s="11">
        <v>2751</v>
      </c>
      <c r="K49" s="12" t="s">
        <v>134</v>
      </c>
      <c r="L49" s="16">
        <v>45892</v>
      </c>
      <c r="M49" s="12" t="s">
        <v>46</v>
      </c>
      <c r="N49" s="11" t="s">
        <v>41</v>
      </c>
      <c r="O49" s="24">
        <v>41832847</v>
      </c>
      <c r="P49" s="2">
        <v>5</v>
      </c>
      <c r="Q49" s="24">
        <v>2091642.35</v>
      </c>
      <c r="R49" s="24">
        <v>855175.21880071703</v>
      </c>
      <c r="S49" s="24">
        <v>0</v>
      </c>
      <c r="T49" s="24">
        <v>114465</v>
      </c>
      <c r="U49" s="24">
        <v>1122002.1311992831</v>
      </c>
      <c r="V49" s="18">
        <v>0</v>
      </c>
      <c r="W49" s="13">
        <v>104164</v>
      </c>
      <c r="X49" s="13">
        <v>0</v>
      </c>
      <c r="Y49" s="13">
        <f t="shared" si="6"/>
        <v>0</v>
      </c>
      <c r="Z49" s="13"/>
      <c r="AA49" s="28"/>
      <c r="AB49" s="25"/>
    </row>
    <row r="50" spans="2:28" s="14" customFormat="1">
      <c r="B50" s="11">
        <v>40</v>
      </c>
      <c r="C50" s="12" t="s">
        <v>164</v>
      </c>
      <c r="D50" s="12" t="s">
        <v>132</v>
      </c>
      <c r="E50" s="12" t="s">
        <v>133</v>
      </c>
      <c r="F50" s="27" t="s">
        <v>38</v>
      </c>
      <c r="G50" s="11">
        <v>2024</v>
      </c>
      <c r="H50" s="16">
        <v>45626</v>
      </c>
      <c r="I50" s="16">
        <v>45991</v>
      </c>
      <c r="J50" s="11">
        <v>2751</v>
      </c>
      <c r="K50" s="12" t="s">
        <v>134</v>
      </c>
      <c r="L50" s="16">
        <v>45892</v>
      </c>
      <c r="M50" s="12" t="s">
        <v>46</v>
      </c>
      <c r="N50" s="11" t="s">
        <v>41</v>
      </c>
      <c r="O50" s="24">
        <v>41832847</v>
      </c>
      <c r="P50" s="2">
        <v>5</v>
      </c>
      <c r="Q50" s="24">
        <v>2091642.35</v>
      </c>
      <c r="R50" s="24">
        <v>855175.21880071703</v>
      </c>
      <c r="S50" s="24">
        <v>0</v>
      </c>
      <c r="T50" s="24">
        <v>114465</v>
      </c>
      <c r="U50" s="24">
        <v>1122002.1311992831</v>
      </c>
      <c r="V50" s="18">
        <v>0</v>
      </c>
      <c r="W50" s="13">
        <v>104164</v>
      </c>
      <c r="X50" s="13">
        <v>0</v>
      </c>
      <c r="Y50" s="13">
        <f t="shared" si="6"/>
        <v>0</v>
      </c>
      <c r="Z50" s="13"/>
      <c r="AA50" s="28"/>
      <c r="AB50" s="25"/>
    </row>
    <row r="51" spans="2:28" s="14" customFormat="1">
      <c r="B51" s="11">
        <v>41</v>
      </c>
      <c r="C51" s="12" t="s">
        <v>165</v>
      </c>
      <c r="D51" s="12" t="s">
        <v>166</v>
      </c>
      <c r="E51" s="12" t="s">
        <v>167</v>
      </c>
      <c r="F51" s="27" t="s">
        <v>38</v>
      </c>
      <c r="G51" s="11">
        <v>2025</v>
      </c>
      <c r="H51" s="16">
        <v>45846</v>
      </c>
      <c r="I51" s="16">
        <v>46211</v>
      </c>
      <c r="J51" s="11">
        <v>2976</v>
      </c>
      <c r="K51" s="12" t="s">
        <v>168</v>
      </c>
      <c r="L51" s="16">
        <v>45877</v>
      </c>
      <c r="M51" s="12" t="s">
        <v>46</v>
      </c>
      <c r="N51" s="11" t="s">
        <v>41</v>
      </c>
      <c r="O51" s="24">
        <v>35085960</v>
      </c>
      <c r="P51" s="2">
        <v>40</v>
      </c>
      <c r="Q51" s="24">
        <v>14034384</v>
      </c>
      <c r="R51" s="24">
        <v>7519566.4891812401</v>
      </c>
      <c r="S51" s="24">
        <v>3222671</v>
      </c>
      <c r="T51" s="24">
        <v>0</v>
      </c>
      <c r="U51" s="24">
        <v>3292146.5108187599</v>
      </c>
      <c r="V51" s="18">
        <v>3125991</v>
      </c>
      <c r="W51" s="13">
        <v>0</v>
      </c>
      <c r="X51" s="13">
        <v>10800000</v>
      </c>
      <c r="Y51" s="13">
        <f>X51*97%</f>
        <v>10476000</v>
      </c>
      <c r="Z51" s="13"/>
      <c r="AA51" s="28"/>
      <c r="AB51" s="25"/>
    </row>
    <row r="52" spans="2:28" s="14" customFormat="1">
      <c r="B52" s="11">
        <v>42</v>
      </c>
      <c r="C52" s="12" t="s">
        <v>169</v>
      </c>
      <c r="D52" s="12" t="s">
        <v>170</v>
      </c>
      <c r="E52" s="12" t="s">
        <v>171</v>
      </c>
      <c r="F52" s="27" t="s">
        <v>38</v>
      </c>
      <c r="G52" s="11">
        <v>2023</v>
      </c>
      <c r="H52" s="16">
        <v>45291</v>
      </c>
      <c r="I52" s="16">
        <v>45657</v>
      </c>
      <c r="J52" s="11">
        <v>2971</v>
      </c>
      <c r="K52" s="12" t="s">
        <v>172</v>
      </c>
      <c r="L52" s="16">
        <v>45369</v>
      </c>
      <c r="M52" s="12" t="s">
        <v>46</v>
      </c>
      <c r="N52" s="11" t="s">
        <v>41</v>
      </c>
      <c r="O52" s="24">
        <v>1946846140</v>
      </c>
      <c r="P52" s="2">
        <v>5</v>
      </c>
      <c r="Q52" s="24">
        <v>97342307</v>
      </c>
      <c r="R52" s="24">
        <v>91068823.453734696</v>
      </c>
      <c r="S52" s="24">
        <v>0</v>
      </c>
      <c r="T52" s="24">
        <v>65819</v>
      </c>
      <c r="U52" s="24">
        <v>6207664.5462653041</v>
      </c>
      <c r="V52" s="18">
        <v>0</v>
      </c>
      <c r="W52" s="13">
        <v>50023</v>
      </c>
      <c r="X52" s="13">
        <v>0</v>
      </c>
      <c r="Y52" s="13">
        <f t="shared" si="0"/>
        <v>0</v>
      </c>
      <c r="Z52" s="13"/>
      <c r="AA52" s="28"/>
      <c r="AB52" s="25"/>
    </row>
    <row r="53" spans="2:28" s="14" customFormat="1">
      <c r="B53" s="11">
        <v>43</v>
      </c>
      <c r="C53" s="12" t="s">
        <v>173</v>
      </c>
      <c r="D53" s="12" t="s">
        <v>170</v>
      </c>
      <c r="E53" s="12" t="s">
        <v>171</v>
      </c>
      <c r="F53" s="27" t="s">
        <v>38</v>
      </c>
      <c r="G53" s="11">
        <v>2023</v>
      </c>
      <c r="H53" s="16">
        <v>45291</v>
      </c>
      <c r="I53" s="16">
        <v>45657</v>
      </c>
      <c r="J53" s="11">
        <v>2971</v>
      </c>
      <c r="K53" s="12" t="s">
        <v>172</v>
      </c>
      <c r="L53" s="16">
        <v>45378</v>
      </c>
      <c r="M53" s="12" t="s">
        <v>46</v>
      </c>
      <c r="N53" s="11" t="s">
        <v>41</v>
      </c>
      <c r="O53" s="24">
        <v>1946846140</v>
      </c>
      <c r="P53" s="2">
        <v>5</v>
      </c>
      <c r="Q53" s="24">
        <v>97342307</v>
      </c>
      <c r="R53" s="24">
        <v>91068823.453734696</v>
      </c>
      <c r="S53" s="24">
        <v>0</v>
      </c>
      <c r="T53" s="24">
        <v>476986</v>
      </c>
      <c r="U53" s="24">
        <v>5796497.5462653041</v>
      </c>
      <c r="V53" s="18">
        <v>0</v>
      </c>
      <c r="W53" s="13">
        <v>362509</v>
      </c>
      <c r="X53" s="13">
        <v>0</v>
      </c>
      <c r="Y53" s="13">
        <f t="shared" si="0"/>
        <v>0</v>
      </c>
      <c r="Z53" s="13"/>
      <c r="AA53" s="28"/>
      <c r="AB53" s="25"/>
    </row>
    <row r="54" spans="2:28" s="14" customFormat="1">
      <c r="B54" s="11">
        <v>44</v>
      </c>
      <c r="C54" s="12" t="s">
        <v>174</v>
      </c>
      <c r="D54" s="12" t="s">
        <v>170</v>
      </c>
      <c r="E54" s="12" t="s">
        <v>171</v>
      </c>
      <c r="F54" s="27" t="s">
        <v>38</v>
      </c>
      <c r="G54" s="11">
        <v>2023</v>
      </c>
      <c r="H54" s="16">
        <v>45291</v>
      </c>
      <c r="I54" s="16">
        <v>45657</v>
      </c>
      <c r="J54" s="11">
        <v>2971</v>
      </c>
      <c r="K54" s="12" t="s">
        <v>172</v>
      </c>
      <c r="L54" s="16">
        <v>45446</v>
      </c>
      <c r="M54" s="12" t="s">
        <v>46</v>
      </c>
      <c r="N54" s="11" t="s">
        <v>41</v>
      </c>
      <c r="O54" s="24">
        <v>1946846140</v>
      </c>
      <c r="P54" s="2">
        <v>5</v>
      </c>
      <c r="Q54" s="24">
        <v>97342307</v>
      </c>
      <c r="R54" s="24">
        <v>91068823.453734696</v>
      </c>
      <c r="S54" s="24">
        <v>0</v>
      </c>
      <c r="T54" s="24">
        <v>14790</v>
      </c>
      <c r="U54" s="24">
        <v>6258693.5462653041</v>
      </c>
      <c r="V54" s="18">
        <v>0</v>
      </c>
      <c r="W54" s="13">
        <v>11240</v>
      </c>
      <c r="X54" s="13">
        <v>0</v>
      </c>
      <c r="Y54" s="13">
        <f t="shared" si="0"/>
        <v>0</v>
      </c>
      <c r="Z54" s="13"/>
      <c r="AA54" s="28"/>
      <c r="AB54" s="25"/>
    </row>
    <row r="55" spans="2:28" s="14" customFormat="1">
      <c r="B55" s="11">
        <v>45</v>
      </c>
      <c r="C55" s="12" t="s">
        <v>175</v>
      </c>
      <c r="D55" s="12" t="s">
        <v>170</v>
      </c>
      <c r="E55" s="12" t="s">
        <v>171</v>
      </c>
      <c r="F55" s="27" t="s">
        <v>38</v>
      </c>
      <c r="G55" s="11">
        <v>2023</v>
      </c>
      <c r="H55" s="16">
        <v>45291</v>
      </c>
      <c r="I55" s="16">
        <v>45657</v>
      </c>
      <c r="J55" s="11">
        <v>2971</v>
      </c>
      <c r="K55" s="12" t="s">
        <v>172</v>
      </c>
      <c r="L55" s="16">
        <v>45494</v>
      </c>
      <c r="M55" s="12" t="s">
        <v>46</v>
      </c>
      <c r="N55" s="11" t="s">
        <v>41</v>
      </c>
      <c r="O55" s="24">
        <v>1946846140</v>
      </c>
      <c r="P55" s="2">
        <v>5</v>
      </c>
      <c r="Q55" s="24">
        <v>97342307</v>
      </c>
      <c r="R55" s="24">
        <v>91068823.453734696</v>
      </c>
      <c r="S55" s="24">
        <v>0</v>
      </c>
      <c r="T55" s="24">
        <v>37955</v>
      </c>
      <c r="U55" s="24">
        <v>6235528.5462653041</v>
      </c>
      <c r="V55" s="18">
        <v>0</v>
      </c>
      <c r="W55" s="13">
        <v>28846</v>
      </c>
      <c r="X55" s="13">
        <v>0</v>
      </c>
      <c r="Y55" s="13">
        <f t="shared" si="0"/>
        <v>0</v>
      </c>
      <c r="Z55" s="13"/>
      <c r="AA55" s="28"/>
      <c r="AB55" s="25"/>
    </row>
    <row r="56" spans="2:28" s="14" customFormat="1">
      <c r="B56" s="11">
        <v>46</v>
      </c>
      <c r="C56" s="12" t="s">
        <v>176</v>
      </c>
      <c r="D56" s="12" t="s">
        <v>170</v>
      </c>
      <c r="E56" s="12" t="s">
        <v>171</v>
      </c>
      <c r="F56" s="27" t="s">
        <v>38</v>
      </c>
      <c r="G56" s="11">
        <v>2023</v>
      </c>
      <c r="H56" s="16">
        <v>45291</v>
      </c>
      <c r="I56" s="16">
        <v>45657</v>
      </c>
      <c r="J56" s="11">
        <v>2971</v>
      </c>
      <c r="K56" s="12" t="s">
        <v>172</v>
      </c>
      <c r="L56" s="16">
        <v>45551</v>
      </c>
      <c r="M56" s="12" t="s">
        <v>46</v>
      </c>
      <c r="N56" s="11" t="s">
        <v>41</v>
      </c>
      <c r="O56" s="24">
        <v>1946846140</v>
      </c>
      <c r="P56" s="2">
        <v>5</v>
      </c>
      <c r="Q56" s="24">
        <v>97342307</v>
      </c>
      <c r="R56" s="24">
        <v>91068823.453734696</v>
      </c>
      <c r="S56" s="24">
        <v>0</v>
      </c>
      <c r="T56" s="24">
        <v>25659</v>
      </c>
      <c r="U56" s="24">
        <v>6247824.5462653041</v>
      </c>
      <c r="V56" s="18">
        <v>0</v>
      </c>
      <c r="W56" s="13">
        <v>19501</v>
      </c>
      <c r="X56" s="13">
        <v>0</v>
      </c>
      <c r="Y56" s="13">
        <f t="shared" si="0"/>
        <v>0</v>
      </c>
      <c r="Z56" s="13"/>
      <c r="AA56" s="28"/>
      <c r="AB56" s="25"/>
    </row>
    <row r="57" spans="2:28" s="14" customFormat="1">
      <c r="B57" s="11">
        <v>47</v>
      </c>
      <c r="C57" s="12" t="s">
        <v>177</v>
      </c>
      <c r="D57" s="12" t="s">
        <v>170</v>
      </c>
      <c r="E57" s="12" t="s">
        <v>171</v>
      </c>
      <c r="F57" s="27" t="s">
        <v>38</v>
      </c>
      <c r="G57" s="11">
        <v>2023</v>
      </c>
      <c r="H57" s="16">
        <v>45291</v>
      </c>
      <c r="I57" s="16">
        <v>45657</v>
      </c>
      <c r="J57" s="11">
        <v>2971</v>
      </c>
      <c r="K57" s="12" t="s">
        <v>172</v>
      </c>
      <c r="L57" s="16">
        <v>45563</v>
      </c>
      <c r="M57" s="12" t="s">
        <v>46</v>
      </c>
      <c r="N57" s="11" t="s">
        <v>41</v>
      </c>
      <c r="O57" s="24">
        <v>1946846140</v>
      </c>
      <c r="P57" s="2">
        <v>5</v>
      </c>
      <c r="Q57" s="24">
        <v>97342307</v>
      </c>
      <c r="R57" s="24">
        <v>91068823.453734696</v>
      </c>
      <c r="S57" s="24">
        <v>0</v>
      </c>
      <c r="T57" s="24">
        <v>30294</v>
      </c>
      <c r="U57" s="24">
        <v>6243189.5462653041</v>
      </c>
      <c r="V57" s="18">
        <v>0</v>
      </c>
      <c r="W57" s="13">
        <v>23023</v>
      </c>
      <c r="X57" s="13">
        <v>0</v>
      </c>
      <c r="Y57" s="13">
        <f t="shared" si="0"/>
        <v>0</v>
      </c>
      <c r="Z57" s="13"/>
      <c r="AA57" s="28"/>
      <c r="AB57" s="25"/>
    </row>
    <row r="58" spans="2:28" s="14" customFormat="1">
      <c r="B58" s="11">
        <v>48</v>
      </c>
      <c r="C58" s="12" t="s">
        <v>178</v>
      </c>
      <c r="D58" s="12" t="s">
        <v>170</v>
      </c>
      <c r="E58" s="12" t="s">
        <v>171</v>
      </c>
      <c r="F58" s="27" t="s">
        <v>38</v>
      </c>
      <c r="G58" s="11">
        <v>2023</v>
      </c>
      <c r="H58" s="16">
        <v>45291</v>
      </c>
      <c r="I58" s="16">
        <v>45657</v>
      </c>
      <c r="J58" s="11">
        <v>2971</v>
      </c>
      <c r="K58" s="12" t="s">
        <v>172</v>
      </c>
      <c r="L58" s="16">
        <v>45575</v>
      </c>
      <c r="M58" s="12" t="s">
        <v>46</v>
      </c>
      <c r="N58" s="11" t="s">
        <v>41</v>
      </c>
      <c r="O58" s="24">
        <v>1946846140</v>
      </c>
      <c r="P58" s="2">
        <v>5</v>
      </c>
      <c r="Q58" s="24">
        <v>97342307</v>
      </c>
      <c r="R58" s="24">
        <v>91068823.453734696</v>
      </c>
      <c r="S58" s="24">
        <v>0</v>
      </c>
      <c r="T58" s="24">
        <v>48802</v>
      </c>
      <c r="U58" s="24">
        <v>6224681.5462653041</v>
      </c>
      <c r="V58" s="18">
        <v>0</v>
      </c>
      <c r="W58" s="13">
        <v>37090</v>
      </c>
      <c r="X58" s="13">
        <v>0</v>
      </c>
      <c r="Y58" s="13">
        <f t="shared" si="0"/>
        <v>0</v>
      </c>
      <c r="Z58" s="13"/>
      <c r="AA58" s="28"/>
      <c r="AB58" s="25"/>
    </row>
    <row r="59" spans="2:28" s="14" customFormat="1">
      <c r="B59" s="11">
        <v>49</v>
      </c>
      <c r="C59" s="12" t="s">
        <v>179</v>
      </c>
      <c r="D59" s="12" t="s">
        <v>170</v>
      </c>
      <c r="E59" s="12" t="s">
        <v>171</v>
      </c>
      <c r="F59" s="27" t="s">
        <v>38</v>
      </c>
      <c r="G59" s="11">
        <v>2023</v>
      </c>
      <c r="H59" s="16">
        <v>45291</v>
      </c>
      <c r="I59" s="16">
        <v>45657</v>
      </c>
      <c r="J59" s="11">
        <v>2971</v>
      </c>
      <c r="K59" s="12" t="s">
        <v>172</v>
      </c>
      <c r="L59" s="16">
        <v>45582</v>
      </c>
      <c r="M59" s="12" t="s">
        <v>46</v>
      </c>
      <c r="N59" s="11" t="s">
        <v>41</v>
      </c>
      <c r="O59" s="24">
        <v>1946846140</v>
      </c>
      <c r="P59" s="2">
        <v>5</v>
      </c>
      <c r="Q59" s="24">
        <v>97342307</v>
      </c>
      <c r="R59" s="24">
        <v>91068823.453734696</v>
      </c>
      <c r="S59" s="24">
        <v>0</v>
      </c>
      <c r="T59" s="24">
        <v>73706</v>
      </c>
      <c r="U59" s="24">
        <v>6199777.5462653041</v>
      </c>
      <c r="V59" s="18">
        <v>0</v>
      </c>
      <c r="W59" s="13">
        <v>56017</v>
      </c>
      <c r="X59" s="13">
        <v>0</v>
      </c>
      <c r="Y59" s="13">
        <f t="shared" si="0"/>
        <v>0</v>
      </c>
      <c r="Z59" s="13"/>
      <c r="AA59" s="28"/>
      <c r="AB59" s="25"/>
    </row>
    <row r="60" spans="2:28" s="14" customFormat="1">
      <c r="B60" s="11">
        <v>50</v>
      </c>
      <c r="C60" s="12" t="s">
        <v>180</v>
      </c>
      <c r="D60" s="12" t="s">
        <v>170</v>
      </c>
      <c r="E60" s="12" t="s">
        <v>171</v>
      </c>
      <c r="F60" s="27" t="s">
        <v>38</v>
      </c>
      <c r="G60" s="11">
        <v>2023</v>
      </c>
      <c r="H60" s="16">
        <v>45291</v>
      </c>
      <c r="I60" s="16">
        <v>45657</v>
      </c>
      <c r="J60" s="11">
        <v>2971</v>
      </c>
      <c r="K60" s="12" t="s">
        <v>172</v>
      </c>
      <c r="L60" s="16">
        <v>45607</v>
      </c>
      <c r="M60" s="12" t="s">
        <v>46</v>
      </c>
      <c r="N60" s="11" t="s">
        <v>41</v>
      </c>
      <c r="O60" s="24">
        <v>1946846140</v>
      </c>
      <c r="P60" s="2">
        <v>5</v>
      </c>
      <c r="Q60" s="24">
        <v>97342307</v>
      </c>
      <c r="R60" s="24">
        <v>91068823.453734696</v>
      </c>
      <c r="S60" s="24">
        <v>0</v>
      </c>
      <c r="T60" s="24">
        <v>21384</v>
      </c>
      <c r="U60" s="24">
        <v>6252099.5462653041</v>
      </c>
      <c r="V60" s="18">
        <v>0</v>
      </c>
      <c r="W60" s="13">
        <v>16251</v>
      </c>
      <c r="X60" s="13">
        <v>0</v>
      </c>
      <c r="Y60" s="13">
        <f t="shared" si="0"/>
        <v>0</v>
      </c>
      <c r="Z60" s="13"/>
      <c r="AA60" s="28"/>
      <c r="AB60" s="25"/>
    </row>
    <row r="61" spans="2:28" s="14" customFormat="1">
      <c r="B61" s="11">
        <v>51</v>
      </c>
      <c r="C61" s="12" t="s">
        <v>181</v>
      </c>
      <c r="D61" s="12" t="s">
        <v>170</v>
      </c>
      <c r="E61" s="12" t="s">
        <v>171</v>
      </c>
      <c r="F61" s="27" t="s">
        <v>38</v>
      </c>
      <c r="G61" s="11">
        <v>2023</v>
      </c>
      <c r="H61" s="16">
        <v>45291</v>
      </c>
      <c r="I61" s="16">
        <v>45657</v>
      </c>
      <c r="J61" s="11">
        <v>2971</v>
      </c>
      <c r="K61" s="12" t="s">
        <v>172</v>
      </c>
      <c r="L61" s="16">
        <v>45653</v>
      </c>
      <c r="M61" s="12" t="s">
        <v>46</v>
      </c>
      <c r="N61" s="11" t="s">
        <v>41</v>
      </c>
      <c r="O61" s="24">
        <v>1946846140</v>
      </c>
      <c r="P61" s="2">
        <v>5</v>
      </c>
      <c r="Q61" s="24">
        <v>97342307</v>
      </c>
      <c r="R61" s="24">
        <v>91068823.453734696</v>
      </c>
      <c r="S61" s="24">
        <v>0</v>
      </c>
      <c r="T61" s="24">
        <v>28896</v>
      </c>
      <c r="U61" s="24">
        <v>6244587.5462653041</v>
      </c>
      <c r="V61" s="18">
        <v>0</v>
      </c>
      <c r="W61" s="13">
        <v>21961</v>
      </c>
      <c r="X61" s="13">
        <v>0</v>
      </c>
      <c r="Y61" s="13">
        <f t="shared" si="0"/>
        <v>0</v>
      </c>
      <c r="Z61" s="13"/>
      <c r="AA61" s="28"/>
      <c r="AB61" s="25"/>
    </row>
    <row r="62" spans="2:28" s="14" customFormat="1">
      <c r="B62" s="11">
        <v>52</v>
      </c>
      <c r="C62" s="12" t="s">
        <v>182</v>
      </c>
      <c r="D62" s="12" t="s">
        <v>183</v>
      </c>
      <c r="E62" s="12" t="s">
        <v>171</v>
      </c>
      <c r="F62" s="27" t="s">
        <v>38</v>
      </c>
      <c r="G62" s="11">
        <v>2024</v>
      </c>
      <c r="H62" s="16">
        <v>45657</v>
      </c>
      <c r="I62" s="16">
        <v>46022</v>
      </c>
      <c r="J62" s="11">
        <v>2971</v>
      </c>
      <c r="K62" s="12" t="s">
        <v>172</v>
      </c>
      <c r="L62" s="16">
        <v>45783</v>
      </c>
      <c r="M62" s="12" t="s">
        <v>46</v>
      </c>
      <c r="N62" s="11" t="s">
        <v>41</v>
      </c>
      <c r="O62" s="24">
        <v>67733000</v>
      </c>
      <c r="P62" s="2">
        <v>5</v>
      </c>
      <c r="Q62" s="24">
        <v>3386650</v>
      </c>
      <c r="R62" s="24">
        <v>1584194.17237353</v>
      </c>
      <c r="S62" s="24">
        <v>0</v>
      </c>
      <c r="T62" s="24">
        <v>200685</v>
      </c>
      <c r="U62" s="24">
        <v>1601770.82762647</v>
      </c>
      <c r="V62" s="18">
        <v>0</v>
      </c>
      <c r="W62" s="13">
        <v>182623</v>
      </c>
      <c r="X62" s="13">
        <v>0</v>
      </c>
      <c r="Y62" s="13">
        <f t="shared" ref="Y62:Y78" si="7">X62*91%</f>
        <v>0</v>
      </c>
      <c r="Z62" s="13"/>
      <c r="AA62" s="28"/>
      <c r="AB62" s="25"/>
    </row>
    <row r="63" spans="2:28" s="14" customFormat="1">
      <c r="B63" s="11">
        <v>53</v>
      </c>
      <c r="C63" s="12" t="s">
        <v>184</v>
      </c>
      <c r="D63" s="12" t="s">
        <v>183</v>
      </c>
      <c r="E63" s="12" t="s">
        <v>171</v>
      </c>
      <c r="F63" s="27" t="s">
        <v>38</v>
      </c>
      <c r="G63" s="11">
        <v>2024</v>
      </c>
      <c r="H63" s="16">
        <v>45657</v>
      </c>
      <c r="I63" s="16">
        <v>46022</v>
      </c>
      <c r="J63" s="11">
        <v>2971</v>
      </c>
      <c r="K63" s="12" t="s">
        <v>172</v>
      </c>
      <c r="L63" s="16">
        <v>45746</v>
      </c>
      <c r="M63" s="12" t="s">
        <v>46</v>
      </c>
      <c r="N63" s="11" t="s">
        <v>41</v>
      </c>
      <c r="O63" s="24">
        <v>67733000</v>
      </c>
      <c r="P63" s="2">
        <v>5</v>
      </c>
      <c r="Q63" s="24">
        <v>3386650</v>
      </c>
      <c r="R63" s="24">
        <v>1584194.17237353</v>
      </c>
      <c r="S63" s="24">
        <v>0</v>
      </c>
      <c r="T63" s="24">
        <v>265879</v>
      </c>
      <c r="U63" s="24">
        <v>1536576.82762647</v>
      </c>
      <c r="V63" s="18">
        <v>0</v>
      </c>
      <c r="W63" s="13">
        <v>241949</v>
      </c>
      <c r="X63" s="13">
        <v>0</v>
      </c>
      <c r="Y63" s="13">
        <f t="shared" si="7"/>
        <v>0</v>
      </c>
      <c r="Z63" s="13"/>
      <c r="AA63" s="28"/>
      <c r="AB63" s="25"/>
    </row>
    <row r="64" spans="2:28" s="14" customFormat="1">
      <c r="B64" s="11">
        <v>54</v>
      </c>
      <c r="C64" s="12" t="s">
        <v>185</v>
      </c>
      <c r="D64" s="12" t="s">
        <v>183</v>
      </c>
      <c r="E64" s="12" t="s">
        <v>171</v>
      </c>
      <c r="F64" s="27" t="s">
        <v>38</v>
      </c>
      <c r="G64" s="11">
        <v>2024</v>
      </c>
      <c r="H64" s="16">
        <v>45657</v>
      </c>
      <c r="I64" s="16">
        <v>46022</v>
      </c>
      <c r="J64" s="11">
        <v>2971</v>
      </c>
      <c r="K64" s="12" t="s">
        <v>172</v>
      </c>
      <c r="L64" s="16">
        <v>45769</v>
      </c>
      <c r="M64" s="12" t="s">
        <v>46</v>
      </c>
      <c r="N64" s="11" t="s">
        <v>41</v>
      </c>
      <c r="O64" s="24">
        <v>67733000</v>
      </c>
      <c r="P64" s="2">
        <v>5</v>
      </c>
      <c r="Q64" s="24">
        <v>3386650</v>
      </c>
      <c r="R64" s="24">
        <v>1584194.17237353</v>
      </c>
      <c r="S64" s="24">
        <v>0</v>
      </c>
      <c r="T64" s="24">
        <v>444016</v>
      </c>
      <c r="U64" s="24">
        <v>1358439.82762647</v>
      </c>
      <c r="V64" s="18">
        <v>0</v>
      </c>
      <c r="W64" s="13">
        <v>404055</v>
      </c>
      <c r="X64" s="13">
        <v>0</v>
      </c>
      <c r="Y64" s="13">
        <f t="shared" si="7"/>
        <v>0</v>
      </c>
      <c r="Z64" s="13"/>
      <c r="AA64" s="28"/>
      <c r="AB64" s="25"/>
    </row>
    <row r="65" spans="2:28" s="14" customFormat="1">
      <c r="B65" s="11">
        <v>55</v>
      </c>
      <c r="C65" s="12" t="s">
        <v>186</v>
      </c>
      <c r="D65" s="12" t="s">
        <v>183</v>
      </c>
      <c r="E65" s="12" t="s">
        <v>171</v>
      </c>
      <c r="F65" s="27" t="s">
        <v>38</v>
      </c>
      <c r="G65" s="11">
        <v>2024</v>
      </c>
      <c r="H65" s="16">
        <v>45657</v>
      </c>
      <c r="I65" s="16">
        <v>46022</v>
      </c>
      <c r="J65" s="11">
        <v>2971</v>
      </c>
      <c r="K65" s="12" t="s">
        <v>172</v>
      </c>
      <c r="L65" s="16">
        <v>45764</v>
      </c>
      <c r="M65" s="12" t="s">
        <v>46</v>
      </c>
      <c r="N65" s="11" t="s">
        <v>41</v>
      </c>
      <c r="O65" s="24">
        <v>67733000</v>
      </c>
      <c r="P65" s="2">
        <v>5</v>
      </c>
      <c r="Q65" s="24">
        <v>3386650</v>
      </c>
      <c r="R65" s="24">
        <v>1584194.17237353</v>
      </c>
      <c r="S65" s="24">
        <v>0</v>
      </c>
      <c r="T65" s="24">
        <v>212490</v>
      </c>
      <c r="U65" s="24">
        <v>1589965.82762647</v>
      </c>
      <c r="V65" s="18">
        <v>0</v>
      </c>
      <c r="W65" s="13">
        <v>193366</v>
      </c>
      <c r="X65" s="13">
        <v>0</v>
      </c>
      <c r="Y65" s="13">
        <f t="shared" si="7"/>
        <v>0</v>
      </c>
      <c r="Z65" s="13"/>
      <c r="AA65" s="28"/>
      <c r="AB65" s="25"/>
    </row>
    <row r="66" spans="2:28" s="14" customFormat="1">
      <c r="B66" s="11">
        <v>56</v>
      </c>
      <c r="C66" s="12" t="s">
        <v>187</v>
      </c>
      <c r="D66" s="12" t="s">
        <v>183</v>
      </c>
      <c r="E66" s="12" t="s">
        <v>171</v>
      </c>
      <c r="F66" s="27" t="s">
        <v>38</v>
      </c>
      <c r="G66" s="11">
        <v>2024</v>
      </c>
      <c r="H66" s="16">
        <v>45657</v>
      </c>
      <c r="I66" s="16">
        <v>46022</v>
      </c>
      <c r="J66" s="11">
        <v>2971</v>
      </c>
      <c r="K66" s="12" t="s">
        <v>172</v>
      </c>
      <c r="L66" s="16">
        <v>45714</v>
      </c>
      <c r="M66" s="12" t="s">
        <v>46</v>
      </c>
      <c r="N66" s="11" t="s">
        <v>41</v>
      </c>
      <c r="O66" s="24">
        <v>67733000</v>
      </c>
      <c r="P66" s="2">
        <v>5</v>
      </c>
      <c r="Q66" s="24">
        <v>3386650</v>
      </c>
      <c r="R66" s="24">
        <v>1584194.17237353</v>
      </c>
      <c r="S66" s="24">
        <v>0</v>
      </c>
      <c r="T66" s="24">
        <v>481053</v>
      </c>
      <c r="U66" s="24">
        <v>1321402.82762647</v>
      </c>
      <c r="V66" s="18">
        <v>0</v>
      </c>
      <c r="W66" s="13">
        <v>437758</v>
      </c>
      <c r="X66" s="13">
        <v>0</v>
      </c>
      <c r="Y66" s="13">
        <f t="shared" si="7"/>
        <v>0</v>
      </c>
      <c r="Z66" s="13"/>
      <c r="AA66" s="28"/>
      <c r="AB66" s="25"/>
    </row>
    <row r="67" spans="2:28" s="14" customFormat="1">
      <c r="B67" s="11">
        <v>57</v>
      </c>
      <c r="C67" s="12" t="s">
        <v>188</v>
      </c>
      <c r="D67" s="12" t="s">
        <v>132</v>
      </c>
      <c r="E67" s="12" t="s">
        <v>133</v>
      </c>
      <c r="F67" s="27" t="s">
        <v>38</v>
      </c>
      <c r="G67" s="11">
        <v>2024</v>
      </c>
      <c r="H67" s="16">
        <v>45626</v>
      </c>
      <c r="I67" s="16">
        <v>45991</v>
      </c>
      <c r="J67" s="11">
        <v>2751</v>
      </c>
      <c r="K67" s="12" t="s">
        <v>134</v>
      </c>
      <c r="L67" s="16">
        <v>45790</v>
      </c>
      <c r="M67" s="12" t="s">
        <v>46</v>
      </c>
      <c r="N67" s="11" t="s">
        <v>41</v>
      </c>
      <c r="O67" s="24">
        <v>41832847</v>
      </c>
      <c r="P67" s="2">
        <v>5</v>
      </c>
      <c r="Q67" s="24">
        <v>2091642.35</v>
      </c>
      <c r="R67" s="24">
        <v>855175.21880071703</v>
      </c>
      <c r="S67" s="24">
        <v>0</v>
      </c>
      <c r="T67" s="24">
        <v>116216</v>
      </c>
      <c r="U67" s="24">
        <v>1120251.1311992831</v>
      </c>
      <c r="V67" s="18">
        <v>0</v>
      </c>
      <c r="W67" s="13">
        <v>105757</v>
      </c>
      <c r="X67" s="13">
        <v>0</v>
      </c>
      <c r="Y67" s="13">
        <f t="shared" si="7"/>
        <v>0</v>
      </c>
      <c r="Z67" s="13"/>
      <c r="AA67" s="28"/>
      <c r="AB67" s="25"/>
    </row>
    <row r="68" spans="2:28" s="14" customFormat="1">
      <c r="B68" s="11">
        <v>58</v>
      </c>
      <c r="C68" s="12" t="s">
        <v>189</v>
      </c>
      <c r="D68" s="12" t="s">
        <v>126</v>
      </c>
      <c r="E68" s="12" t="s">
        <v>127</v>
      </c>
      <c r="F68" s="27" t="s">
        <v>38</v>
      </c>
      <c r="G68" s="11">
        <v>2024</v>
      </c>
      <c r="H68" s="16">
        <v>45596</v>
      </c>
      <c r="I68" s="16">
        <v>45961</v>
      </c>
      <c r="J68" s="11">
        <v>2761</v>
      </c>
      <c r="K68" s="12" t="s">
        <v>120</v>
      </c>
      <c r="L68" s="16">
        <v>45617</v>
      </c>
      <c r="M68" s="12" t="s">
        <v>46</v>
      </c>
      <c r="N68" s="11" t="s">
        <v>41</v>
      </c>
      <c r="O68" s="24">
        <v>448519305.20999998</v>
      </c>
      <c r="P68" s="2">
        <v>10</v>
      </c>
      <c r="Q68" s="24">
        <v>44851930.520999998</v>
      </c>
      <c r="R68" s="24">
        <v>19967504.049656902</v>
      </c>
      <c r="S68" s="24">
        <v>0</v>
      </c>
      <c r="T68" s="24">
        <v>2417020</v>
      </c>
      <c r="U68" s="24">
        <v>22467406.471343096</v>
      </c>
      <c r="V68" s="18">
        <v>0</v>
      </c>
      <c r="W68" s="13">
        <v>2199489</v>
      </c>
      <c r="X68" s="13">
        <v>0</v>
      </c>
      <c r="Y68" s="13">
        <f t="shared" si="7"/>
        <v>0</v>
      </c>
      <c r="Z68" s="13"/>
      <c r="AA68" s="28"/>
      <c r="AB68" s="25"/>
    </row>
    <row r="69" spans="2:28" s="14" customFormat="1">
      <c r="B69" s="11">
        <v>59</v>
      </c>
      <c r="C69" s="12" t="s">
        <v>190</v>
      </c>
      <c r="D69" s="12" t="s">
        <v>183</v>
      </c>
      <c r="E69" s="12" t="s">
        <v>171</v>
      </c>
      <c r="F69" s="27" t="s">
        <v>38</v>
      </c>
      <c r="G69" s="11">
        <v>2024</v>
      </c>
      <c r="H69" s="16">
        <v>45657</v>
      </c>
      <c r="I69" s="16">
        <v>46022</v>
      </c>
      <c r="J69" s="11">
        <v>2971</v>
      </c>
      <c r="K69" s="12" t="s">
        <v>172</v>
      </c>
      <c r="L69" s="16">
        <v>45834</v>
      </c>
      <c r="M69" s="12" t="s">
        <v>46</v>
      </c>
      <c r="N69" s="11" t="s">
        <v>41</v>
      </c>
      <c r="O69" s="24">
        <v>67733000</v>
      </c>
      <c r="P69" s="2">
        <v>5</v>
      </c>
      <c r="Q69" s="24">
        <v>3386650</v>
      </c>
      <c r="R69" s="24">
        <v>1584194.17237353</v>
      </c>
      <c r="S69" s="24">
        <v>0</v>
      </c>
      <c r="T69" s="24">
        <v>196749</v>
      </c>
      <c r="U69" s="24">
        <v>1605706.82762647</v>
      </c>
      <c r="V69" s="18">
        <v>0</v>
      </c>
      <c r="W69" s="13">
        <v>179042</v>
      </c>
      <c r="X69" s="13">
        <v>0</v>
      </c>
      <c r="Y69" s="13">
        <f t="shared" si="7"/>
        <v>0</v>
      </c>
      <c r="Z69" s="13"/>
      <c r="AA69" s="28"/>
      <c r="AB69" s="25"/>
    </row>
    <row r="70" spans="2:28" s="14" customFormat="1">
      <c r="B70" s="11">
        <v>60</v>
      </c>
      <c r="C70" s="12" t="s">
        <v>191</v>
      </c>
      <c r="D70" s="12" t="s">
        <v>132</v>
      </c>
      <c r="E70" s="12" t="s">
        <v>133</v>
      </c>
      <c r="F70" s="27" t="s">
        <v>38</v>
      </c>
      <c r="G70" s="11">
        <v>2024</v>
      </c>
      <c r="H70" s="16">
        <v>45626</v>
      </c>
      <c r="I70" s="16">
        <v>45991</v>
      </c>
      <c r="J70" s="11">
        <v>2751</v>
      </c>
      <c r="K70" s="12" t="s">
        <v>134</v>
      </c>
      <c r="L70" s="16">
        <v>45916</v>
      </c>
      <c r="M70" s="12" t="s">
        <v>46</v>
      </c>
      <c r="N70" s="11" t="s">
        <v>41</v>
      </c>
      <c r="O70" s="24">
        <v>41832847</v>
      </c>
      <c r="P70" s="2">
        <v>5</v>
      </c>
      <c r="Q70" s="24">
        <v>2091642.35</v>
      </c>
      <c r="R70" s="24">
        <v>855175.21880071703</v>
      </c>
      <c r="S70" s="24">
        <v>0</v>
      </c>
      <c r="T70" s="24">
        <v>115322</v>
      </c>
      <c r="U70" s="24">
        <v>1121145.1311992831</v>
      </c>
      <c r="V70" s="18">
        <v>0</v>
      </c>
      <c r="W70" s="13">
        <v>104944</v>
      </c>
      <c r="X70" s="13">
        <v>0</v>
      </c>
      <c r="Y70" s="13">
        <f t="shared" si="7"/>
        <v>0</v>
      </c>
      <c r="Z70" s="13"/>
      <c r="AA70" s="28"/>
      <c r="AB70" s="25"/>
    </row>
    <row r="71" spans="2:28" s="14" customFormat="1">
      <c r="B71" s="11">
        <v>61</v>
      </c>
      <c r="C71" s="12" t="s">
        <v>192</v>
      </c>
      <c r="D71" s="12" t="s">
        <v>126</v>
      </c>
      <c r="E71" s="12" t="s">
        <v>127</v>
      </c>
      <c r="F71" s="27" t="s">
        <v>38</v>
      </c>
      <c r="G71" s="11">
        <v>2024</v>
      </c>
      <c r="H71" s="16">
        <v>45596</v>
      </c>
      <c r="I71" s="16">
        <v>45961</v>
      </c>
      <c r="J71" s="11">
        <v>2761</v>
      </c>
      <c r="K71" s="12" t="s">
        <v>120</v>
      </c>
      <c r="L71" s="16">
        <v>45921</v>
      </c>
      <c r="M71" s="12" t="s">
        <v>46</v>
      </c>
      <c r="N71" s="11" t="s">
        <v>41</v>
      </c>
      <c r="O71" s="24">
        <v>77334308.819999993</v>
      </c>
      <c r="P71" s="2">
        <v>10</v>
      </c>
      <c r="Q71" s="24">
        <v>7733430.8820000002</v>
      </c>
      <c r="R71" s="24">
        <v>3513199.6511543398</v>
      </c>
      <c r="S71" s="24">
        <v>0</v>
      </c>
      <c r="T71" s="24">
        <v>71107</v>
      </c>
      <c r="U71" s="24">
        <v>4149124.23084566</v>
      </c>
      <c r="V71" s="18">
        <v>0</v>
      </c>
      <c r="W71" s="13">
        <v>64708</v>
      </c>
      <c r="X71" s="13">
        <v>0</v>
      </c>
      <c r="Y71" s="13">
        <f t="shared" si="7"/>
        <v>0</v>
      </c>
      <c r="Z71" s="13"/>
      <c r="AA71" s="28"/>
      <c r="AB71" s="25"/>
    </row>
    <row r="72" spans="2:28" s="14" customFormat="1">
      <c r="B72" s="11">
        <v>62</v>
      </c>
      <c r="C72" s="12" t="s">
        <v>193</v>
      </c>
      <c r="D72" s="12" t="s">
        <v>126</v>
      </c>
      <c r="E72" s="12" t="s">
        <v>127</v>
      </c>
      <c r="F72" s="27" t="s">
        <v>38</v>
      </c>
      <c r="G72" s="11">
        <v>2024</v>
      </c>
      <c r="H72" s="16">
        <v>45596</v>
      </c>
      <c r="I72" s="16">
        <v>45961</v>
      </c>
      <c r="J72" s="11">
        <v>2761</v>
      </c>
      <c r="K72" s="12" t="s">
        <v>120</v>
      </c>
      <c r="L72" s="16">
        <v>45903</v>
      </c>
      <c r="M72" s="12" t="s">
        <v>46</v>
      </c>
      <c r="N72" s="11" t="s">
        <v>41</v>
      </c>
      <c r="O72" s="24">
        <v>77334308.819999993</v>
      </c>
      <c r="P72" s="2">
        <v>10</v>
      </c>
      <c r="Q72" s="24">
        <v>7733430.8820000002</v>
      </c>
      <c r="R72" s="24">
        <v>3513199.6511543398</v>
      </c>
      <c r="S72" s="24">
        <v>0</v>
      </c>
      <c r="T72" s="24">
        <v>293612</v>
      </c>
      <c r="U72" s="24">
        <v>3926619.23084566</v>
      </c>
      <c r="V72" s="18">
        <v>0</v>
      </c>
      <c r="W72" s="13">
        <v>267187</v>
      </c>
      <c r="X72" s="13">
        <v>0</v>
      </c>
      <c r="Y72" s="13">
        <f t="shared" si="7"/>
        <v>0</v>
      </c>
      <c r="Z72" s="13"/>
      <c r="AA72" s="28"/>
      <c r="AB72" s="25"/>
    </row>
    <row r="73" spans="2:28" s="14" customFormat="1">
      <c r="B73" s="11">
        <v>63</v>
      </c>
      <c r="C73" s="12" t="s">
        <v>194</v>
      </c>
      <c r="D73" s="12" t="s">
        <v>132</v>
      </c>
      <c r="E73" s="12" t="s">
        <v>133</v>
      </c>
      <c r="F73" s="27" t="s">
        <v>38</v>
      </c>
      <c r="G73" s="11">
        <v>2024</v>
      </c>
      <c r="H73" s="16">
        <v>45626</v>
      </c>
      <c r="I73" s="16">
        <v>45991</v>
      </c>
      <c r="J73" s="11">
        <v>2751</v>
      </c>
      <c r="K73" s="12" t="s">
        <v>134</v>
      </c>
      <c r="L73" s="16">
        <v>45914</v>
      </c>
      <c r="M73" s="12" t="s">
        <v>46</v>
      </c>
      <c r="N73" s="11" t="s">
        <v>41</v>
      </c>
      <c r="O73" s="24">
        <v>41832847</v>
      </c>
      <c r="P73" s="2">
        <v>5</v>
      </c>
      <c r="Q73" s="24">
        <v>2091642.35</v>
      </c>
      <c r="R73" s="24">
        <v>855175.21880071703</v>
      </c>
      <c r="S73" s="24">
        <v>0</v>
      </c>
      <c r="T73" s="24">
        <v>115765</v>
      </c>
      <c r="U73" s="24">
        <v>1120702.1311992831</v>
      </c>
      <c r="V73" s="18">
        <v>0</v>
      </c>
      <c r="W73" s="13">
        <v>105347</v>
      </c>
      <c r="X73" s="13">
        <v>0</v>
      </c>
      <c r="Y73" s="13">
        <f t="shared" si="7"/>
        <v>0</v>
      </c>
      <c r="Z73" s="13"/>
      <c r="AA73" s="28"/>
      <c r="AB73" s="25"/>
    </row>
    <row r="74" spans="2:28" s="14" customFormat="1">
      <c r="B74" s="11">
        <v>64</v>
      </c>
      <c r="C74" s="12" t="s">
        <v>195</v>
      </c>
      <c r="D74" s="12" t="s">
        <v>126</v>
      </c>
      <c r="E74" s="12" t="s">
        <v>127</v>
      </c>
      <c r="F74" s="27" t="s">
        <v>38</v>
      </c>
      <c r="G74" s="11">
        <v>2024</v>
      </c>
      <c r="H74" s="16">
        <v>45596</v>
      </c>
      <c r="I74" s="16">
        <v>45961</v>
      </c>
      <c r="J74" s="11">
        <v>2761</v>
      </c>
      <c r="K74" s="12" t="s">
        <v>120</v>
      </c>
      <c r="L74" s="16">
        <v>45709</v>
      </c>
      <c r="M74" s="12" t="s">
        <v>46</v>
      </c>
      <c r="N74" s="11" t="s">
        <v>41</v>
      </c>
      <c r="O74" s="24">
        <v>4823110.22</v>
      </c>
      <c r="P74" s="2">
        <v>10</v>
      </c>
      <c r="Q74" s="24">
        <v>482311.022</v>
      </c>
      <c r="R74" s="24">
        <v>108912.202589904</v>
      </c>
      <c r="S74" s="24">
        <v>0</v>
      </c>
      <c r="T74" s="24">
        <v>373254</v>
      </c>
      <c r="U74" s="24">
        <v>144.81941009598086</v>
      </c>
      <c r="V74" s="18">
        <v>0</v>
      </c>
      <c r="W74" s="13">
        <v>339661</v>
      </c>
      <c r="X74" s="13">
        <v>0</v>
      </c>
      <c r="Y74" s="13">
        <f t="shared" si="7"/>
        <v>0</v>
      </c>
      <c r="Z74" s="13"/>
      <c r="AA74" s="28"/>
      <c r="AB74" s="25"/>
    </row>
    <row r="75" spans="2:28" s="14" customFormat="1">
      <c r="B75" s="11">
        <v>65</v>
      </c>
      <c r="C75" s="12" t="s">
        <v>196</v>
      </c>
      <c r="D75" s="12" t="s">
        <v>132</v>
      </c>
      <c r="E75" s="12" t="s">
        <v>133</v>
      </c>
      <c r="F75" s="27" t="s">
        <v>38</v>
      </c>
      <c r="G75" s="11">
        <v>2024</v>
      </c>
      <c r="H75" s="16">
        <v>45626</v>
      </c>
      <c r="I75" s="16">
        <v>45991</v>
      </c>
      <c r="J75" s="11">
        <v>2751</v>
      </c>
      <c r="K75" s="12" t="s">
        <v>134</v>
      </c>
      <c r="L75" s="16">
        <v>45949</v>
      </c>
      <c r="M75" s="12" t="s">
        <v>46</v>
      </c>
      <c r="N75" s="11" t="s">
        <v>41</v>
      </c>
      <c r="O75" s="24">
        <v>41832847</v>
      </c>
      <c r="P75" s="2">
        <v>5</v>
      </c>
      <c r="Q75" s="24">
        <v>2091642.35</v>
      </c>
      <c r="R75" s="24">
        <v>855175.21880071703</v>
      </c>
      <c r="S75" s="24">
        <v>0</v>
      </c>
      <c r="T75" s="24">
        <v>116554</v>
      </c>
      <c r="U75" s="24">
        <v>1119913.1311992831</v>
      </c>
      <c r="V75" s="18">
        <v>0</v>
      </c>
      <c r="W75" s="13">
        <v>106064</v>
      </c>
      <c r="X75" s="13">
        <v>0</v>
      </c>
      <c r="Y75" s="13">
        <f t="shared" si="7"/>
        <v>0</v>
      </c>
      <c r="Z75" s="13"/>
      <c r="AA75" s="28"/>
      <c r="AB75" s="25"/>
    </row>
    <row r="76" spans="2:28" s="14" customFormat="1">
      <c r="B76" s="11">
        <v>66</v>
      </c>
      <c r="C76" s="12" t="s">
        <v>197</v>
      </c>
      <c r="D76" s="12" t="s">
        <v>132</v>
      </c>
      <c r="E76" s="12" t="s">
        <v>133</v>
      </c>
      <c r="F76" s="27" t="s">
        <v>38</v>
      </c>
      <c r="G76" s="11">
        <v>2024</v>
      </c>
      <c r="H76" s="16">
        <v>45626</v>
      </c>
      <c r="I76" s="16">
        <v>45991</v>
      </c>
      <c r="J76" s="11">
        <v>2751</v>
      </c>
      <c r="K76" s="12" t="s">
        <v>134</v>
      </c>
      <c r="L76" s="16">
        <v>45954</v>
      </c>
      <c r="M76" s="12" t="s">
        <v>46</v>
      </c>
      <c r="N76" s="11" t="s">
        <v>41</v>
      </c>
      <c r="O76" s="24">
        <v>41832847</v>
      </c>
      <c r="P76" s="2">
        <v>5</v>
      </c>
      <c r="Q76" s="24">
        <v>2091642.35</v>
      </c>
      <c r="R76" s="24">
        <v>855175.21880071703</v>
      </c>
      <c r="S76" s="24">
        <v>0</v>
      </c>
      <c r="T76" s="24">
        <v>117011</v>
      </c>
      <c r="U76" s="24">
        <v>1119456.1311992831</v>
      </c>
      <c r="V76" s="18">
        <v>0</v>
      </c>
      <c r="W76" s="13">
        <v>106480</v>
      </c>
      <c r="X76" s="13">
        <v>0</v>
      </c>
      <c r="Y76" s="13">
        <f t="shared" si="7"/>
        <v>0</v>
      </c>
      <c r="Z76" s="13"/>
      <c r="AA76" s="28"/>
      <c r="AB76" s="25"/>
    </row>
    <row r="77" spans="2:28" s="14" customFormat="1">
      <c r="B77" s="11">
        <v>67</v>
      </c>
      <c r="C77" s="12" t="s">
        <v>198</v>
      </c>
      <c r="D77" s="12" t="s">
        <v>132</v>
      </c>
      <c r="E77" s="12" t="s">
        <v>133</v>
      </c>
      <c r="F77" s="27" t="s">
        <v>38</v>
      </c>
      <c r="G77" s="11">
        <v>2024</v>
      </c>
      <c r="H77" s="16">
        <v>45626</v>
      </c>
      <c r="I77" s="16">
        <v>45991</v>
      </c>
      <c r="J77" s="11">
        <v>2751</v>
      </c>
      <c r="K77" s="12" t="s">
        <v>134</v>
      </c>
      <c r="L77" s="16">
        <v>45941</v>
      </c>
      <c r="M77" s="12" t="s">
        <v>46</v>
      </c>
      <c r="N77" s="11" t="s">
        <v>41</v>
      </c>
      <c r="O77" s="24">
        <v>41832847</v>
      </c>
      <c r="P77" s="2">
        <v>5</v>
      </c>
      <c r="Q77" s="24">
        <v>2091642.35</v>
      </c>
      <c r="R77" s="24">
        <v>855175.21880071703</v>
      </c>
      <c r="S77" s="24">
        <v>0</v>
      </c>
      <c r="T77" s="24">
        <v>111347</v>
      </c>
      <c r="U77" s="24">
        <v>1125120.1311992831</v>
      </c>
      <c r="V77" s="18">
        <v>0</v>
      </c>
      <c r="W77" s="13">
        <v>101326</v>
      </c>
      <c r="X77" s="13">
        <v>0</v>
      </c>
      <c r="Y77" s="13">
        <f t="shared" si="7"/>
        <v>0</v>
      </c>
      <c r="Z77" s="13"/>
      <c r="AA77" s="28"/>
      <c r="AB77" s="25"/>
    </row>
    <row r="78" spans="2:28" s="14" customFormat="1">
      <c r="B78" s="11">
        <v>68</v>
      </c>
      <c r="C78" s="12" t="s">
        <v>199</v>
      </c>
      <c r="D78" s="12" t="s">
        <v>132</v>
      </c>
      <c r="E78" s="12" t="s">
        <v>133</v>
      </c>
      <c r="F78" s="27" t="s">
        <v>38</v>
      </c>
      <c r="G78" s="11">
        <v>2024</v>
      </c>
      <c r="H78" s="16">
        <v>45626</v>
      </c>
      <c r="I78" s="16">
        <v>45991</v>
      </c>
      <c r="J78" s="11">
        <v>2751</v>
      </c>
      <c r="K78" s="12" t="s">
        <v>134</v>
      </c>
      <c r="L78" s="16">
        <v>45952</v>
      </c>
      <c r="M78" s="12" t="s">
        <v>46</v>
      </c>
      <c r="N78" s="11" t="s">
        <v>41</v>
      </c>
      <c r="O78" s="24">
        <v>41832847</v>
      </c>
      <c r="P78" s="2">
        <v>5</v>
      </c>
      <c r="Q78" s="24">
        <v>2091642.35</v>
      </c>
      <c r="R78" s="24">
        <v>855175.21880071703</v>
      </c>
      <c r="S78" s="24">
        <v>0</v>
      </c>
      <c r="T78" s="24">
        <v>116616</v>
      </c>
      <c r="U78" s="24">
        <v>1119851.1311992831</v>
      </c>
      <c r="V78" s="18">
        <v>0</v>
      </c>
      <c r="W78" s="13">
        <v>106121</v>
      </c>
      <c r="X78" s="13">
        <v>0</v>
      </c>
      <c r="Y78" s="13">
        <f t="shared" si="7"/>
        <v>0</v>
      </c>
      <c r="Z78" s="13"/>
      <c r="AA78" s="28"/>
      <c r="AB78" s="25"/>
    </row>
    <row r="79" spans="2:28" s="14" customFormat="1">
      <c r="B79" s="11">
        <v>69</v>
      </c>
      <c r="C79" s="12" t="s">
        <v>200</v>
      </c>
      <c r="D79" s="12" t="s">
        <v>118</v>
      </c>
      <c r="E79" s="12" t="s">
        <v>119</v>
      </c>
      <c r="F79" s="27" t="s">
        <v>38</v>
      </c>
      <c r="G79" s="11">
        <v>2023</v>
      </c>
      <c r="H79" s="16">
        <v>45230</v>
      </c>
      <c r="I79" s="16">
        <v>45596</v>
      </c>
      <c r="J79" s="11">
        <v>2761</v>
      </c>
      <c r="K79" s="12" t="s">
        <v>120</v>
      </c>
      <c r="L79" s="16">
        <v>45232</v>
      </c>
      <c r="M79" s="12" t="s">
        <v>46</v>
      </c>
      <c r="N79" s="11" t="s">
        <v>41</v>
      </c>
      <c r="O79" s="24">
        <v>23337500</v>
      </c>
      <c r="P79" s="2">
        <v>10</v>
      </c>
      <c r="Q79" s="24">
        <v>2333750</v>
      </c>
      <c r="R79" s="24">
        <v>379476.73141164298</v>
      </c>
      <c r="S79" s="24">
        <v>0</v>
      </c>
      <c r="T79" s="24">
        <v>1953809</v>
      </c>
      <c r="U79" s="24">
        <v>464.26858835713938</v>
      </c>
      <c r="V79" s="18">
        <v>0</v>
      </c>
      <c r="W79" s="13">
        <v>1484895</v>
      </c>
      <c r="X79" s="13">
        <v>0</v>
      </c>
      <c r="Y79" s="13">
        <f t="shared" si="0"/>
        <v>0</v>
      </c>
      <c r="Z79" s="13"/>
      <c r="AA79" s="28"/>
      <c r="AB79" s="25"/>
    </row>
    <row r="80" spans="2:28" s="14" customFormat="1">
      <c r="B80" s="11">
        <v>70</v>
      </c>
      <c r="C80" s="12" t="s">
        <v>201</v>
      </c>
      <c r="D80" s="12" t="s">
        <v>118</v>
      </c>
      <c r="E80" s="12" t="s">
        <v>119</v>
      </c>
      <c r="F80" s="27" t="s">
        <v>38</v>
      </c>
      <c r="G80" s="11">
        <v>2023</v>
      </c>
      <c r="H80" s="16">
        <v>45230</v>
      </c>
      <c r="I80" s="16">
        <v>45596</v>
      </c>
      <c r="J80" s="11">
        <v>29371</v>
      </c>
      <c r="K80" s="12" t="s">
        <v>39</v>
      </c>
      <c r="L80" s="16">
        <v>45233</v>
      </c>
      <c r="M80" s="12" t="s">
        <v>46</v>
      </c>
      <c r="N80" s="11" t="s">
        <v>41</v>
      </c>
      <c r="O80" s="24">
        <v>18293500</v>
      </c>
      <c r="P80" s="2">
        <v>10</v>
      </c>
      <c r="Q80" s="24">
        <v>1829350</v>
      </c>
      <c r="R80" s="24">
        <v>489499.18814538699</v>
      </c>
      <c r="S80" s="24">
        <v>0</v>
      </c>
      <c r="T80" s="24">
        <v>1339211</v>
      </c>
      <c r="U80" s="24">
        <v>639.81185461301357</v>
      </c>
      <c r="V80" s="18">
        <v>0</v>
      </c>
      <c r="W80" s="13">
        <v>1017801</v>
      </c>
      <c r="X80" s="13">
        <v>0</v>
      </c>
      <c r="Y80" s="13">
        <f t="shared" si="0"/>
        <v>0</v>
      </c>
      <c r="Z80" s="13"/>
      <c r="AA80" s="28"/>
      <c r="AB80" s="25"/>
    </row>
    <row r="81" spans="2:28" s="14" customFormat="1">
      <c r="B81" s="11">
        <v>71</v>
      </c>
      <c r="C81" s="12" t="s">
        <v>202</v>
      </c>
      <c r="D81" s="12" t="s">
        <v>118</v>
      </c>
      <c r="E81" s="12" t="s">
        <v>119</v>
      </c>
      <c r="F81" s="27" t="s">
        <v>38</v>
      </c>
      <c r="G81" s="11">
        <v>2023</v>
      </c>
      <c r="H81" s="16">
        <v>45230</v>
      </c>
      <c r="I81" s="16">
        <v>45596</v>
      </c>
      <c r="J81" s="11">
        <v>2761</v>
      </c>
      <c r="K81" s="12" t="s">
        <v>120</v>
      </c>
      <c r="L81" s="16">
        <v>45237</v>
      </c>
      <c r="M81" s="12" t="s">
        <v>46</v>
      </c>
      <c r="N81" s="11" t="s">
        <v>41</v>
      </c>
      <c r="O81" s="24">
        <v>113346910.99999999</v>
      </c>
      <c r="P81" s="2">
        <v>10</v>
      </c>
      <c r="Q81" s="24">
        <v>11334691.1</v>
      </c>
      <c r="R81" s="24">
        <v>3291610.9269888601</v>
      </c>
      <c r="S81" s="24">
        <v>0</v>
      </c>
      <c r="T81" s="24">
        <v>8038946</v>
      </c>
      <c r="U81" s="24">
        <v>4134.1730111390352</v>
      </c>
      <c r="V81" s="18">
        <v>0</v>
      </c>
      <c r="W81" s="13">
        <v>6109599</v>
      </c>
      <c r="X81" s="13">
        <v>0</v>
      </c>
      <c r="Y81" s="13">
        <f t="shared" si="0"/>
        <v>0</v>
      </c>
      <c r="Z81" s="13"/>
      <c r="AA81" s="28"/>
      <c r="AB81" s="25"/>
    </row>
    <row r="82" spans="2:28" s="14" customFormat="1">
      <c r="B82" s="11">
        <v>72</v>
      </c>
      <c r="C82" s="12" t="s">
        <v>203</v>
      </c>
      <c r="D82" s="12" t="s">
        <v>170</v>
      </c>
      <c r="E82" s="12" t="s">
        <v>171</v>
      </c>
      <c r="F82" s="27" t="s">
        <v>38</v>
      </c>
      <c r="G82" s="11">
        <v>2023</v>
      </c>
      <c r="H82" s="16">
        <v>45291</v>
      </c>
      <c r="I82" s="16">
        <v>45657</v>
      </c>
      <c r="J82" s="11">
        <v>2971</v>
      </c>
      <c r="K82" s="12" t="s">
        <v>172</v>
      </c>
      <c r="L82" s="16">
        <v>45488</v>
      </c>
      <c r="M82" s="12" t="s">
        <v>46</v>
      </c>
      <c r="N82" s="11" t="s">
        <v>41</v>
      </c>
      <c r="O82" s="24">
        <v>1946846140</v>
      </c>
      <c r="P82" s="2">
        <v>5</v>
      </c>
      <c r="Q82" s="24">
        <v>97342307</v>
      </c>
      <c r="R82" s="24">
        <v>91068823.453734696</v>
      </c>
      <c r="S82" s="24">
        <v>0</v>
      </c>
      <c r="T82" s="24">
        <v>5218874</v>
      </c>
      <c r="U82" s="24">
        <v>1054609.5462653041</v>
      </c>
      <c r="V82" s="18">
        <v>0</v>
      </c>
      <c r="W82" s="13">
        <v>3966345</v>
      </c>
      <c r="X82" s="13">
        <v>81273450</v>
      </c>
      <c r="Y82" s="13">
        <f t="shared" si="0"/>
        <v>61767822</v>
      </c>
      <c r="Z82" s="13"/>
      <c r="AA82" s="28"/>
      <c r="AB82" s="25"/>
    </row>
    <row r="83" spans="2:28" s="14" customFormat="1">
      <c r="B83" s="11">
        <v>73</v>
      </c>
      <c r="C83" s="12" t="s">
        <v>204</v>
      </c>
      <c r="D83" s="12" t="s">
        <v>170</v>
      </c>
      <c r="E83" s="12" t="s">
        <v>171</v>
      </c>
      <c r="F83" s="27" t="s">
        <v>38</v>
      </c>
      <c r="G83" s="11">
        <v>2023</v>
      </c>
      <c r="H83" s="16">
        <v>45291</v>
      </c>
      <c r="I83" s="16">
        <v>45657</v>
      </c>
      <c r="J83" s="11">
        <v>2971</v>
      </c>
      <c r="K83" s="12" t="s">
        <v>172</v>
      </c>
      <c r="L83" s="16">
        <v>45655</v>
      </c>
      <c r="M83" s="12" t="s">
        <v>46</v>
      </c>
      <c r="N83" s="11" t="s">
        <v>41</v>
      </c>
      <c r="O83" s="24">
        <v>1946846140</v>
      </c>
      <c r="P83" s="2">
        <v>5</v>
      </c>
      <c r="Q83" s="24">
        <v>97342307</v>
      </c>
      <c r="R83" s="24">
        <v>91068823.453734696</v>
      </c>
      <c r="S83" s="24">
        <v>0</v>
      </c>
      <c r="T83" s="24">
        <v>207551</v>
      </c>
      <c r="U83" s="24">
        <v>6065932.5462653041</v>
      </c>
      <c r="V83" s="18">
        <v>0</v>
      </c>
      <c r="W83" s="13">
        <v>157739</v>
      </c>
      <c r="X83" s="13">
        <v>0</v>
      </c>
      <c r="Y83" s="13">
        <f t="shared" si="0"/>
        <v>0</v>
      </c>
      <c r="Z83" s="13"/>
      <c r="AA83" s="28"/>
      <c r="AB83" s="25"/>
    </row>
    <row r="84" spans="2:28" s="14" customFormat="1">
      <c r="B84" s="11">
        <v>74</v>
      </c>
      <c r="C84" s="12" t="s">
        <v>205</v>
      </c>
      <c r="D84" s="12" t="s">
        <v>206</v>
      </c>
      <c r="E84" s="12" t="s">
        <v>207</v>
      </c>
      <c r="F84" s="27" t="s">
        <v>38</v>
      </c>
      <c r="G84" s="11">
        <v>2023</v>
      </c>
      <c r="H84" s="16">
        <v>45163</v>
      </c>
      <c r="I84" s="16">
        <v>45529</v>
      </c>
      <c r="J84" s="11">
        <v>230051</v>
      </c>
      <c r="K84" s="12" t="s">
        <v>208</v>
      </c>
      <c r="L84" s="16">
        <v>45498</v>
      </c>
      <c r="M84" s="12" t="s">
        <v>46</v>
      </c>
      <c r="N84" s="11" t="s">
        <v>41</v>
      </c>
      <c r="O84" s="24">
        <v>7939702093.999999</v>
      </c>
      <c r="P84" s="2">
        <v>10</v>
      </c>
      <c r="Q84" s="24">
        <v>793970209.39999998</v>
      </c>
      <c r="R84" s="24">
        <v>135572422.63203001</v>
      </c>
      <c r="S84" s="24">
        <v>0</v>
      </c>
      <c r="T84" s="24">
        <v>658074995</v>
      </c>
      <c r="U84" s="24">
        <v>322791.76796996593</v>
      </c>
      <c r="V84" s="18">
        <v>0</v>
      </c>
      <c r="W84" s="13">
        <v>500136996</v>
      </c>
      <c r="X84" s="13">
        <v>981401950.60000002</v>
      </c>
      <c r="Y84" s="13">
        <f t="shared" si="0"/>
        <v>745865482.45599997</v>
      </c>
      <c r="Z84" s="13"/>
      <c r="AA84" s="28"/>
      <c r="AB84" s="25"/>
    </row>
    <row r="85" spans="2:28" s="14" customFormat="1">
      <c r="B85" s="11">
        <v>75</v>
      </c>
      <c r="C85" s="12" t="s">
        <v>205</v>
      </c>
      <c r="D85" s="12" t="s">
        <v>206</v>
      </c>
      <c r="E85" s="12" t="s">
        <v>207</v>
      </c>
      <c r="F85" s="27" t="s">
        <v>38</v>
      </c>
      <c r="G85" s="11">
        <v>2023</v>
      </c>
      <c r="H85" s="16">
        <v>45163</v>
      </c>
      <c r="I85" s="16">
        <v>45529</v>
      </c>
      <c r="J85" s="11">
        <v>230051</v>
      </c>
      <c r="K85" s="12" t="s">
        <v>208</v>
      </c>
      <c r="L85" s="16">
        <v>45498</v>
      </c>
      <c r="M85" s="12" t="s">
        <v>46</v>
      </c>
      <c r="N85" s="11" t="s">
        <v>139</v>
      </c>
      <c r="O85" s="24" t="e">
        <v>#VALUE!</v>
      </c>
      <c r="P85" s="2">
        <v>10</v>
      </c>
      <c r="Q85" s="24" t="e">
        <v>#VALUE!</v>
      </c>
      <c r="R85" s="24" t="e">
        <v>#VALUE!</v>
      </c>
      <c r="S85" s="24">
        <v>0</v>
      </c>
      <c r="T85" s="24">
        <v>719.99</v>
      </c>
      <c r="U85" s="24" t="e">
        <v>#VALUE!</v>
      </c>
      <c r="V85" s="18">
        <v>0</v>
      </c>
      <c r="W85" s="13">
        <v>547.19000000000005</v>
      </c>
      <c r="X85" s="13">
        <v>981401950.60000002</v>
      </c>
      <c r="Y85" s="13">
        <f t="shared" si="0"/>
        <v>745865482.45599997</v>
      </c>
      <c r="Z85" s="13"/>
      <c r="AA85" s="28"/>
      <c r="AB85" s="25"/>
    </row>
    <row r="86" spans="2:28" s="14" customFormat="1">
      <c r="B86" s="11">
        <v>76</v>
      </c>
      <c r="C86" s="12" t="s">
        <v>209</v>
      </c>
      <c r="D86" s="12" t="s">
        <v>210</v>
      </c>
      <c r="E86" s="12" t="s">
        <v>211</v>
      </c>
      <c r="F86" s="27" t="s">
        <v>38</v>
      </c>
      <c r="G86" s="11">
        <v>2025</v>
      </c>
      <c r="H86" s="16">
        <v>45701</v>
      </c>
      <c r="I86" s="16">
        <v>46066</v>
      </c>
      <c r="J86" s="11">
        <v>4.0119999999999996</v>
      </c>
      <c r="K86" s="12" t="s">
        <v>212</v>
      </c>
      <c r="L86" s="16">
        <v>45859</v>
      </c>
      <c r="M86" s="12" t="s">
        <v>46</v>
      </c>
      <c r="N86" s="11" t="s">
        <v>41</v>
      </c>
      <c r="O86" s="24">
        <v>15912573.700000001</v>
      </c>
      <c r="P86" s="2">
        <v>10</v>
      </c>
      <c r="Q86" s="24">
        <v>1591257.37</v>
      </c>
      <c r="R86" s="24">
        <v>1113880.159</v>
      </c>
      <c r="S86" s="24">
        <v>477378</v>
      </c>
      <c r="T86" s="24">
        <v>0</v>
      </c>
      <c r="U86" s="24">
        <v>-0.78899999987334013</v>
      </c>
      <c r="V86" s="18">
        <v>463056</v>
      </c>
      <c r="W86" s="13">
        <v>0</v>
      </c>
      <c r="X86" s="13">
        <v>0</v>
      </c>
      <c r="Y86" s="13">
        <f t="shared" ref="Y86:Y87" si="8">X86*97%</f>
        <v>0</v>
      </c>
      <c r="Z86" s="13"/>
      <c r="AA86" s="28"/>
      <c r="AB86" s="25"/>
    </row>
    <row r="87" spans="2:28" s="14" customFormat="1">
      <c r="B87" s="11">
        <v>77</v>
      </c>
      <c r="C87" s="12" t="s">
        <v>213</v>
      </c>
      <c r="D87" s="12" t="s">
        <v>214</v>
      </c>
      <c r="E87" s="12" t="s">
        <v>215</v>
      </c>
      <c r="F87" s="27" t="s">
        <v>38</v>
      </c>
      <c r="G87" s="11">
        <v>2025</v>
      </c>
      <c r="H87" s="16">
        <v>45834</v>
      </c>
      <c r="I87" s="16">
        <v>47660</v>
      </c>
      <c r="J87" s="11">
        <v>2976</v>
      </c>
      <c r="K87" s="12" t="s">
        <v>168</v>
      </c>
      <c r="L87" s="16">
        <v>45914</v>
      </c>
      <c r="M87" s="12" t="s">
        <v>46</v>
      </c>
      <c r="N87" s="11" t="s">
        <v>41</v>
      </c>
      <c r="O87" s="24">
        <v>75505000</v>
      </c>
      <c r="P87" s="2">
        <v>5</v>
      </c>
      <c r="Q87" s="24">
        <v>3775250</v>
      </c>
      <c r="R87" s="24">
        <v>2576608.125</v>
      </c>
      <c r="S87" s="24">
        <v>1104261</v>
      </c>
      <c r="T87" s="24">
        <v>0</v>
      </c>
      <c r="U87" s="24">
        <v>94380.875</v>
      </c>
      <c r="V87" s="18">
        <v>1071133</v>
      </c>
      <c r="W87" s="13">
        <v>0</v>
      </c>
      <c r="X87" s="13">
        <v>0</v>
      </c>
      <c r="Y87" s="13">
        <f t="shared" si="8"/>
        <v>0</v>
      </c>
      <c r="Z87" s="13"/>
      <c r="AA87" s="28"/>
      <c r="AB87" s="25"/>
    </row>
    <row r="88" spans="2:28" s="14" customFormat="1">
      <c r="B88" s="11">
        <v>78</v>
      </c>
      <c r="C88" s="12" t="s">
        <v>216</v>
      </c>
      <c r="D88" s="12" t="s">
        <v>217</v>
      </c>
      <c r="E88" s="12" t="s">
        <v>218</v>
      </c>
      <c r="F88" s="27" t="s">
        <v>38</v>
      </c>
      <c r="G88" s="11">
        <v>2023</v>
      </c>
      <c r="H88" s="16">
        <v>44865</v>
      </c>
      <c r="I88" s="16">
        <v>45596</v>
      </c>
      <c r="J88" s="11">
        <v>2971</v>
      </c>
      <c r="K88" s="12" t="s">
        <v>219</v>
      </c>
      <c r="L88" s="16">
        <v>45365</v>
      </c>
      <c r="M88" s="12" t="s">
        <v>56</v>
      </c>
      <c r="N88" s="11" t="s">
        <v>41</v>
      </c>
      <c r="O88" s="24">
        <v>34138562.82</v>
      </c>
      <c r="P88" s="2">
        <v>100</v>
      </c>
      <c r="Q88" s="24">
        <v>34138562.82</v>
      </c>
      <c r="R88" s="24">
        <v>9261722.6477961</v>
      </c>
      <c r="S88" s="24">
        <v>0</v>
      </c>
      <c r="T88" s="24">
        <v>24761067.999999899</v>
      </c>
      <c r="U88" s="24">
        <v>115772.17220399901</v>
      </c>
      <c r="V88" s="18">
        <v>0</v>
      </c>
      <c r="W88" s="13">
        <v>18818412</v>
      </c>
      <c r="X88" s="13">
        <v>0</v>
      </c>
      <c r="Y88" s="13">
        <f t="shared" si="0"/>
        <v>0</v>
      </c>
      <c r="Z88" s="13"/>
      <c r="AA88" s="28"/>
      <c r="AB88" s="25"/>
    </row>
    <row r="89" spans="2:28" s="14" customFormat="1">
      <c r="B89" s="11">
        <v>79</v>
      </c>
      <c r="C89" s="12" t="s">
        <v>220</v>
      </c>
      <c r="D89" s="12" t="s">
        <v>217</v>
      </c>
      <c r="E89" s="12" t="s">
        <v>221</v>
      </c>
      <c r="F89" s="27" t="s">
        <v>38</v>
      </c>
      <c r="G89" s="11">
        <v>2023</v>
      </c>
      <c r="H89" s="16">
        <v>44865</v>
      </c>
      <c r="I89" s="16">
        <v>45596</v>
      </c>
      <c r="J89" s="11">
        <v>2971</v>
      </c>
      <c r="K89" s="12" t="s">
        <v>219</v>
      </c>
      <c r="L89" s="16">
        <v>45496</v>
      </c>
      <c r="M89" s="12" t="s">
        <v>56</v>
      </c>
      <c r="N89" s="11" t="s">
        <v>41</v>
      </c>
      <c r="O89" s="24">
        <v>138716256</v>
      </c>
      <c r="P89" s="2">
        <v>100</v>
      </c>
      <c r="Q89" s="24">
        <v>138716256</v>
      </c>
      <c r="R89" s="24">
        <v>54372079.997259103</v>
      </c>
      <c r="S89" s="24">
        <v>0</v>
      </c>
      <c r="T89" s="24">
        <v>83664525.999999896</v>
      </c>
      <c r="U89" s="24">
        <v>679650.0027409941</v>
      </c>
      <c r="V89" s="18">
        <v>0</v>
      </c>
      <c r="W89" s="13">
        <v>63585039.000000097</v>
      </c>
      <c r="X89" s="13">
        <v>0</v>
      </c>
      <c r="Y89" s="13">
        <f t="shared" si="0"/>
        <v>0</v>
      </c>
      <c r="Z89" s="13"/>
      <c r="AA89" s="28"/>
      <c r="AB89" s="25"/>
    </row>
    <row r="90" spans="2:28" s="14" customFormat="1">
      <c r="B90" s="11">
        <v>80</v>
      </c>
      <c r="C90" s="12" t="s">
        <v>222</v>
      </c>
      <c r="D90" s="12" t="s">
        <v>223</v>
      </c>
      <c r="E90" s="12" t="s">
        <v>224</v>
      </c>
      <c r="F90" s="27" t="s">
        <v>38</v>
      </c>
      <c r="G90" s="11">
        <v>2025</v>
      </c>
      <c r="H90" s="16">
        <v>45596</v>
      </c>
      <c r="I90" s="16">
        <v>46326</v>
      </c>
      <c r="J90" s="11">
        <v>2971</v>
      </c>
      <c r="K90" s="12" t="s">
        <v>225</v>
      </c>
      <c r="L90" s="16">
        <v>45978</v>
      </c>
      <c r="M90" s="12" t="s">
        <v>56</v>
      </c>
      <c r="N90" s="11" t="s">
        <v>41</v>
      </c>
      <c r="O90" s="24">
        <v>34884000</v>
      </c>
      <c r="P90" s="2">
        <v>100</v>
      </c>
      <c r="Q90" s="24">
        <v>34884000</v>
      </c>
      <c r="R90" s="24">
        <v>24115035.377167702</v>
      </c>
      <c r="S90" s="24">
        <v>10335015</v>
      </c>
      <c r="T90" s="24">
        <v>0</v>
      </c>
      <c r="U90" s="24">
        <v>433949.62283229828</v>
      </c>
      <c r="V90" s="18">
        <v>10024965</v>
      </c>
      <c r="W90" s="13">
        <v>0</v>
      </c>
      <c r="X90" s="13">
        <v>0</v>
      </c>
      <c r="Y90" s="13">
        <f t="shared" ref="Y90:Y92" si="9">X90*97%</f>
        <v>0</v>
      </c>
      <c r="Z90" s="13"/>
      <c r="AA90" s="28"/>
      <c r="AB90" s="25"/>
    </row>
    <row r="91" spans="2:28" s="14" customFormat="1">
      <c r="B91" s="11">
        <v>81</v>
      </c>
      <c r="C91" s="12" t="s">
        <v>226</v>
      </c>
      <c r="D91" s="12" t="s">
        <v>223</v>
      </c>
      <c r="E91" s="12" t="s">
        <v>227</v>
      </c>
      <c r="F91" s="27" t="s">
        <v>38</v>
      </c>
      <c r="G91" s="11">
        <v>2025</v>
      </c>
      <c r="H91" s="16">
        <v>45596</v>
      </c>
      <c r="I91" s="16">
        <v>46326</v>
      </c>
      <c r="J91" s="11">
        <v>2971</v>
      </c>
      <c r="K91" s="12" t="s">
        <v>225</v>
      </c>
      <c r="L91" s="16">
        <v>45972</v>
      </c>
      <c r="M91" s="12" t="s">
        <v>56</v>
      </c>
      <c r="N91" s="11" t="s">
        <v>41</v>
      </c>
      <c r="O91" s="24">
        <v>41756000</v>
      </c>
      <c r="P91" s="2">
        <v>100</v>
      </c>
      <c r="Q91" s="24">
        <v>41756000</v>
      </c>
      <c r="R91" s="24">
        <v>28498470</v>
      </c>
      <c r="S91" s="24">
        <v>630630</v>
      </c>
      <c r="T91" s="24">
        <v>0</v>
      </c>
      <c r="U91" s="24">
        <v>12626900</v>
      </c>
      <c r="V91" s="18">
        <v>611711</v>
      </c>
      <c r="W91" s="13">
        <v>0</v>
      </c>
      <c r="X91" s="13">
        <v>0</v>
      </c>
      <c r="Y91" s="13">
        <f t="shared" si="9"/>
        <v>0</v>
      </c>
      <c r="Z91" s="13"/>
      <c r="AA91" s="28"/>
      <c r="AB91" s="25"/>
    </row>
    <row r="92" spans="2:28" s="14" customFormat="1">
      <c r="B92" s="11">
        <v>82</v>
      </c>
      <c r="C92" s="12" t="s">
        <v>228</v>
      </c>
      <c r="D92" s="12" t="s">
        <v>223</v>
      </c>
      <c r="E92" s="12" t="s">
        <v>227</v>
      </c>
      <c r="F92" s="27" t="s">
        <v>38</v>
      </c>
      <c r="G92" s="11">
        <v>2025</v>
      </c>
      <c r="H92" s="16">
        <v>45596</v>
      </c>
      <c r="I92" s="16">
        <v>46326</v>
      </c>
      <c r="J92" s="11">
        <v>2971</v>
      </c>
      <c r="K92" s="12" t="s">
        <v>225</v>
      </c>
      <c r="L92" s="16">
        <v>45961</v>
      </c>
      <c r="M92" s="12" t="s">
        <v>56</v>
      </c>
      <c r="N92" s="11" t="s">
        <v>41</v>
      </c>
      <c r="O92" s="24">
        <v>41756000</v>
      </c>
      <c r="P92" s="2">
        <v>100</v>
      </c>
      <c r="Q92" s="24">
        <v>41756000</v>
      </c>
      <c r="R92" s="24">
        <v>28498470</v>
      </c>
      <c r="S92" s="24">
        <v>11583000</v>
      </c>
      <c r="T92" s="24">
        <v>0</v>
      </c>
      <c r="U92" s="24">
        <v>1674530</v>
      </c>
      <c r="V92" s="18">
        <v>11235510</v>
      </c>
      <c r="W92" s="13">
        <v>0</v>
      </c>
      <c r="X92" s="13">
        <v>0</v>
      </c>
      <c r="Y92" s="13">
        <f t="shared" si="9"/>
        <v>0</v>
      </c>
      <c r="Z92" s="13"/>
      <c r="AA92" s="28"/>
      <c r="AB92" s="25"/>
    </row>
    <row r="93" spans="2:28" s="14" customFormat="1">
      <c r="B93" s="11">
        <v>83</v>
      </c>
      <c r="C93" s="12" t="s">
        <v>229</v>
      </c>
      <c r="D93" s="12" t="s">
        <v>126</v>
      </c>
      <c r="E93" s="12" t="s">
        <v>127</v>
      </c>
      <c r="F93" s="27" t="s">
        <v>38</v>
      </c>
      <c r="G93" s="11">
        <v>2024</v>
      </c>
      <c r="H93" s="16">
        <v>45596</v>
      </c>
      <c r="I93" s="16">
        <v>45961</v>
      </c>
      <c r="J93" s="11">
        <v>2761</v>
      </c>
      <c r="K93" s="12" t="s">
        <v>120</v>
      </c>
      <c r="L93" s="16">
        <v>45646</v>
      </c>
      <c r="M93" s="12" t="s">
        <v>46</v>
      </c>
      <c r="N93" s="11" t="s">
        <v>41</v>
      </c>
      <c r="O93" s="24">
        <v>448519305.20999998</v>
      </c>
      <c r="P93" s="2">
        <v>10</v>
      </c>
      <c r="Q93" s="24">
        <v>44851930.520999998</v>
      </c>
      <c r="R93" s="24">
        <v>19967504.049656902</v>
      </c>
      <c r="S93" s="24">
        <v>0</v>
      </c>
      <c r="T93" s="24">
        <v>1463822</v>
      </c>
      <c r="U93" s="24">
        <v>23420604.471343096</v>
      </c>
      <c r="V93" s="18">
        <v>0</v>
      </c>
      <c r="W93" s="13">
        <v>1332079</v>
      </c>
      <c r="X93" s="13">
        <v>0</v>
      </c>
      <c r="Y93" s="13">
        <f t="shared" ref="Y93:Y94" si="10">X93*91%</f>
        <v>0</v>
      </c>
      <c r="Z93" s="13"/>
      <c r="AA93" s="28"/>
      <c r="AB93" s="25"/>
    </row>
    <row r="94" spans="2:28" s="14" customFormat="1">
      <c r="B94" s="11">
        <v>84</v>
      </c>
      <c r="C94" s="12" t="s">
        <v>230</v>
      </c>
      <c r="D94" s="12" t="s">
        <v>231</v>
      </c>
      <c r="E94" s="12" t="s">
        <v>232</v>
      </c>
      <c r="F94" s="27" t="s">
        <v>38</v>
      </c>
      <c r="G94" s="11">
        <v>2024</v>
      </c>
      <c r="H94" s="16">
        <v>45611</v>
      </c>
      <c r="I94" s="16">
        <v>45976</v>
      </c>
      <c r="J94" s="11">
        <v>29412</v>
      </c>
      <c r="K94" s="12" t="s">
        <v>233</v>
      </c>
      <c r="L94" s="16">
        <v>45635</v>
      </c>
      <c r="M94" s="12" t="s">
        <v>51</v>
      </c>
      <c r="N94" s="11" t="s">
        <v>41</v>
      </c>
      <c r="O94" s="24">
        <v>130812286.00000001</v>
      </c>
      <c r="P94" s="2">
        <v>70</v>
      </c>
      <c r="Q94" s="24">
        <v>91568600.200000003</v>
      </c>
      <c r="R94" s="24">
        <v>17773408.423912998</v>
      </c>
      <c r="S94" s="24">
        <v>0</v>
      </c>
      <c r="T94" s="24">
        <v>73670779</v>
      </c>
      <c r="U94" s="24">
        <v>124412.77608700097</v>
      </c>
      <c r="V94" s="18">
        <v>0</v>
      </c>
      <c r="W94" s="13">
        <v>67040408</v>
      </c>
      <c r="X94" s="13">
        <v>200000000</v>
      </c>
      <c r="Y94" s="13">
        <f t="shared" si="10"/>
        <v>182000000</v>
      </c>
      <c r="Z94" s="13"/>
      <c r="AA94" s="28"/>
      <c r="AB94" s="25"/>
    </row>
    <row r="95" spans="2:28" s="14" customFormat="1">
      <c r="B95" s="11">
        <v>85</v>
      </c>
      <c r="C95" s="12" t="s">
        <v>234</v>
      </c>
      <c r="D95" s="12" t="s">
        <v>235</v>
      </c>
      <c r="E95" s="12" t="s">
        <v>236</v>
      </c>
      <c r="F95" s="27" t="s">
        <v>38</v>
      </c>
      <c r="G95" s="11">
        <v>2025</v>
      </c>
      <c r="H95" s="16">
        <v>45695</v>
      </c>
      <c r="I95" s="16">
        <v>46060</v>
      </c>
      <c r="J95" s="11">
        <v>29371</v>
      </c>
      <c r="K95" s="12" t="s">
        <v>237</v>
      </c>
      <c r="L95" s="16">
        <v>45820</v>
      </c>
      <c r="M95" s="12" t="s">
        <v>46</v>
      </c>
      <c r="N95" s="11" t="s">
        <v>41</v>
      </c>
      <c r="O95" s="24">
        <v>58730000</v>
      </c>
      <c r="P95" s="2">
        <v>15</v>
      </c>
      <c r="Q95" s="24">
        <v>8809500</v>
      </c>
      <c r="R95" s="24">
        <v>6158796.7690575598</v>
      </c>
      <c r="S95" s="24">
        <v>2639485</v>
      </c>
      <c r="T95" s="24">
        <v>0</v>
      </c>
      <c r="U95" s="24">
        <v>11218.230942440219</v>
      </c>
      <c r="V95" s="18">
        <v>2560300</v>
      </c>
      <c r="W95" s="13">
        <v>0</v>
      </c>
      <c r="X95" s="13">
        <v>0</v>
      </c>
      <c r="Y95" s="13">
        <f t="shared" ref="Y95:Y101" si="11">X95*97%</f>
        <v>0</v>
      </c>
      <c r="Z95" s="13"/>
      <c r="AA95" s="28"/>
      <c r="AB95" s="25"/>
    </row>
    <row r="96" spans="2:28" s="14" customFormat="1">
      <c r="B96" s="11">
        <v>86</v>
      </c>
      <c r="C96" s="12" t="s">
        <v>238</v>
      </c>
      <c r="D96" s="12" t="s">
        <v>239</v>
      </c>
      <c r="E96" s="12" t="s">
        <v>240</v>
      </c>
      <c r="F96" s="27" t="s">
        <v>38</v>
      </c>
      <c r="G96" s="11">
        <v>2025</v>
      </c>
      <c r="H96" s="16">
        <v>45811</v>
      </c>
      <c r="I96" s="16">
        <v>46176</v>
      </c>
      <c r="J96" s="11">
        <v>2953</v>
      </c>
      <c r="K96" s="12" t="s">
        <v>241</v>
      </c>
      <c r="L96" s="16">
        <v>45844</v>
      </c>
      <c r="M96" s="12" t="s">
        <v>56</v>
      </c>
      <c r="N96" s="11" t="s">
        <v>41</v>
      </c>
      <c r="O96" s="24">
        <v>197668396</v>
      </c>
      <c r="P96" s="2">
        <v>100</v>
      </c>
      <c r="Q96" s="24">
        <v>197668396</v>
      </c>
      <c r="R96" s="24">
        <v>134908680.27000001</v>
      </c>
      <c r="S96" s="24">
        <v>57818006</v>
      </c>
      <c r="T96" s="24">
        <v>0</v>
      </c>
      <c r="U96" s="24">
        <v>4941709.7299999893</v>
      </c>
      <c r="V96" s="18">
        <v>56083466</v>
      </c>
      <c r="W96" s="13">
        <v>0</v>
      </c>
      <c r="X96" s="13">
        <v>41479516</v>
      </c>
      <c r="Y96" s="13">
        <f t="shared" si="11"/>
        <v>40235130.519999996</v>
      </c>
      <c r="Z96" s="13"/>
      <c r="AA96" s="28"/>
      <c r="AB96" s="25"/>
    </row>
    <row r="97" spans="2:28" s="14" customFormat="1">
      <c r="B97" s="11">
        <v>87</v>
      </c>
      <c r="C97" s="12" t="s">
        <v>242</v>
      </c>
      <c r="D97" s="12" t="s">
        <v>243</v>
      </c>
      <c r="E97" s="12" t="s">
        <v>244</v>
      </c>
      <c r="F97" s="27" t="s">
        <v>38</v>
      </c>
      <c r="G97" s="11">
        <v>2025</v>
      </c>
      <c r="H97" s="16">
        <v>45789</v>
      </c>
      <c r="I97" s="16">
        <v>46154</v>
      </c>
      <c r="J97" s="11">
        <v>29313</v>
      </c>
      <c r="K97" s="12" t="s">
        <v>245</v>
      </c>
      <c r="L97" s="16">
        <v>45844</v>
      </c>
      <c r="M97" s="12" t="s">
        <v>46</v>
      </c>
      <c r="N97" s="11" t="s">
        <v>41</v>
      </c>
      <c r="O97" s="24">
        <v>7528142.7000000002</v>
      </c>
      <c r="P97" s="2">
        <v>20</v>
      </c>
      <c r="Q97" s="24">
        <v>1505628.54</v>
      </c>
      <c r="R97" s="24">
        <v>1052768.93358</v>
      </c>
      <c r="S97" s="24">
        <v>451187</v>
      </c>
      <c r="T97" s="24">
        <v>0</v>
      </c>
      <c r="U97" s="24">
        <v>1672.6064200000837</v>
      </c>
      <c r="V97" s="18">
        <v>437651</v>
      </c>
      <c r="W97" s="13">
        <v>0</v>
      </c>
      <c r="X97" s="13">
        <v>0</v>
      </c>
      <c r="Y97" s="13">
        <f t="shared" si="11"/>
        <v>0</v>
      </c>
      <c r="Z97" s="13"/>
      <c r="AA97" s="28"/>
      <c r="AB97" s="25"/>
    </row>
    <row r="98" spans="2:28" s="14" customFormat="1">
      <c r="B98" s="11">
        <v>88</v>
      </c>
      <c r="C98" s="12" t="s">
        <v>246</v>
      </c>
      <c r="D98" s="12" t="s">
        <v>247</v>
      </c>
      <c r="E98" s="12" t="s">
        <v>248</v>
      </c>
      <c r="F98" s="27" t="s">
        <v>38</v>
      </c>
      <c r="G98" s="11">
        <v>2025</v>
      </c>
      <c r="H98" s="16">
        <v>45899</v>
      </c>
      <c r="I98" s="16">
        <v>46264</v>
      </c>
      <c r="J98" s="11">
        <v>29412</v>
      </c>
      <c r="K98" s="12" t="s">
        <v>45</v>
      </c>
      <c r="L98" s="16">
        <v>45910</v>
      </c>
      <c r="M98" s="12" t="s">
        <v>56</v>
      </c>
      <c r="N98" s="11" t="s">
        <v>41</v>
      </c>
      <c r="O98" s="24">
        <v>97419215</v>
      </c>
      <c r="P98" s="2">
        <v>100</v>
      </c>
      <c r="Q98" s="24">
        <v>97419215</v>
      </c>
      <c r="R98" s="24">
        <v>67842752.532249302</v>
      </c>
      <c r="S98" s="24">
        <v>29075465</v>
      </c>
      <c r="T98" s="24">
        <v>0</v>
      </c>
      <c r="U98" s="24">
        <v>500997.46775069833</v>
      </c>
      <c r="V98" s="18">
        <v>28203201</v>
      </c>
      <c r="W98" s="13">
        <v>0</v>
      </c>
      <c r="X98" s="13">
        <v>1074991590</v>
      </c>
      <c r="Y98" s="13">
        <f t="shared" si="11"/>
        <v>1042741842.3</v>
      </c>
      <c r="Z98" s="13"/>
      <c r="AA98" s="28"/>
      <c r="AB98" s="25"/>
    </row>
    <row r="99" spans="2:28" s="14" customFormat="1">
      <c r="B99" s="11">
        <v>89</v>
      </c>
      <c r="C99" s="12" t="s">
        <v>249</v>
      </c>
      <c r="D99" s="12" t="s">
        <v>250</v>
      </c>
      <c r="E99" s="12" t="s">
        <v>251</v>
      </c>
      <c r="F99" s="27" t="s">
        <v>38</v>
      </c>
      <c r="G99" s="11">
        <v>2025</v>
      </c>
      <c r="H99" s="16">
        <v>45902</v>
      </c>
      <c r="I99" s="16">
        <v>46267</v>
      </c>
      <c r="J99" s="11">
        <v>29761</v>
      </c>
      <c r="K99" s="12" t="s">
        <v>252</v>
      </c>
      <c r="L99" s="16">
        <v>45910</v>
      </c>
      <c r="M99" s="12" t="s">
        <v>56</v>
      </c>
      <c r="N99" s="11" t="s">
        <v>41</v>
      </c>
      <c r="O99" s="24">
        <v>102427989</v>
      </c>
      <c r="P99" s="2">
        <v>100</v>
      </c>
      <c r="Q99" s="24">
        <v>102427989</v>
      </c>
      <c r="R99" s="24">
        <v>69907102.492500007</v>
      </c>
      <c r="S99" s="24">
        <v>29960187</v>
      </c>
      <c r="T99" s="24">
        <v>0</v>
      </c>
      <c r="U99" s="24">
        <v>2560699.5074999928</v>
      </c>
      <c r="V99" s="18">
        <v>29061381</v>
      </c>
      <c r="W99" s="13">
        <v>0</v>
      </c>
      <c r="X99" s="13">
        <v>955011</v>
      </c>
      <c r="Y99" s="13">
        <f t="shared" si="11"/>
        <v>926360.66999999993</v>
      </c>
      <c r="Z99" s="13"/>
      <c r="AA99" s="28"/>
      <c r="AB99" s="25"/>
    </row>
    <row r="100" spans="2:28" s="14" customFormat="1">
      <c r="B100" s="11">
        <v>90</v>
      </c>
      <c r="C100" s="12" t="s">
        <v>253</v>
      </c>
      <c r="D100" s="12" t="s">
        <v>254</v>
      </c>
      <c r="E100" s="12" t="s">
        <v>255</v>
      </c>
      <c r="F100" s="27" t="s">
        <v>38</v>
      </c>
      <c r="G100" s="11">
        <v>2025</v>
      </c>
      <c r="H100" s="16">
        <v>45804</v>
      </c>
      <c r="I100" s="16">
        <v>46169</v>
      </c>
      <c r="J100" s="11">
        <v>2532</v>
      </c>
      <c r="K100" s="12" t="s">
        <v>256</v>
      </c>
      <c r="L100" s="16">
        <v>45832</v>
      </c>
      <c r="M100" s="12" t="s">
        <v>46</v>
      </c>
      <c r="N100" s="11" t="s">
        <v>41</v>
      </c>
      <c r="O100" s="24">
        <v>57438387.999999993</v>
      </c>
      <c r="P100" s="2">
        <v>5</v>
      </c>
      <c r="Q100" s="24">
        <v>2871919.4</v>
      </c>
      <c r="R100" s="24">
        <v>1967203.1598283199</v>
      </c>
      <c r="S100" s="24">
        <v>843087</v>
      </c>
      <c r="T100" s="24">
        <v>0</v>
      </c>
      <c r="U100" s="24">
        <v>61629.240171679994</v>
      </c>
      <c r="V100" s="18">
        <v>817794</v>
      </c>
      <c r="W100" s="13">
        <v>0</v>
      </c>
      <c r="X100" s="13">
        <v>0</v>
      </c>
      <c r="Y100" s="13">
        <f t="shared" si="11"/>
        <v>0</v>
      </c>
      <c r="Z100" s="13"/>
      <c r="AA100" s="28"/>
      <c r="AB100" s="25"/>
    </row>
    <row r="101" spans="2:28" s="14" customFormat="1">
      <c r="B101" s="11">
        <v>91</v>
      </c>
      <c r="C101" s="12" t="s">
        <v>257</v>
      </c>
      <c r="D101" s="12" t="s">
        <v>258</v>
      </c>
      <c r="E101" s="12" t="s">
        <v>259</v>
      </c>
      <c r="F101" s="27" t="s">
        <v>38</v>
      </c>
      <c r="G101" s="11">
        <v>2025</v>
      </c>
      <c r="H101" s="16">
        <v>45838</v>
      </c>
      <c r="I101" s="16">
        <v>46203</v>
      </c>
      <c r="J101" s="11">
        <v>2934</v>
      </c>
      <c r="K101" s="12" t="s">
        <v>260</v>
      </c>
      <c r="L101" s="16">
        <v>45866</v>
      </c>
      <c r="M101" s="12" t="s">
        <v>56</v>
      </c>
      <c r="N101" s="11" t="s">
        <v>41</v>
      </c>
      <c r="O101" s="24">
        <v>653920504</v>
      </c>
      <c r="P101" s="2">
        <v>100</v>
      </c>
      <c r="Q101" s="24">
        <v>653920504</v>
      </c>
      <c r="R101" s="24">
        <v>446300743.98000002</v>
      </c>
      <c r="S101" s="24">
        <v>191271747</v>
      </c>
      <c r="T101" s="24">
        <v>0</v>
      </c>
      <c r="U101" s="24">
        <v>16348013.019999981</v>
      </c>
      <c r="V101" s="18">
        <v>185533595</v>
      </c>
      <c r="W101" s="13">
        <v>0</v>
      </c>
      <c r="X101" s="13">
        <v>1377500000</v>
      </c>
      <c r="Y101" s="13">
        <f t="shared" si="11"/>
        <v>1336175000</v>
      </c>
      <c r="Z101" s="13"/>
      <c r="AA101" s="28"/>
      <c r="AB101" s="25"/>
    </row>
    <row r="102" spans="2:28" s="14" customFormat="1">
      <c r="B102" s="11">
        <v>92</v>
      </c>
      <c r="C102" s="12" t="s">
        <v>261</v>
      </c>
      <c r="D102" s="12" t="s">
        <v>262</v>
      </c>
      <c r="E102" s="12" t="s">
        <v>263</v>
      </c>
      <c r="F102" s="27" t="s">
        <v>38</v>
      </c>
      <c r="G102" s="11">
        <v>2023</v>
      </c>
      <c r="H102" s="16">
        <v>45291</v>
      </c>
      <c r="I102" s="16">
        <v>45657</v>
      </c>
      <c r="J102" s="11">
        <v>2975</v>
      </c>
      <c r="K102" s="12" t="s">
        <v>264</v>
      </c>
      <c r="L102" s="16">
        <v>45409</v>
      </c>
      <c r="M102" s="12" t="s">
        <v>46</v>
      </c>
      <c r="N102" s="11" t="s">
        <v>41</v>
      </c>
      <c r="O102" s="24">
        <v>217163743</v>
      </c>
      <c r="P102" s="2">
        <v>10</v>
      </c>
      <c r="Q102" s="24">
        <v>21716374.300000001</v>
      </c>
      <c r="R102" s="24">
        <v>5211929.8320000004</v>
      </c>
      <c r="S102" s="24">
        <v>0</v>
      </c>
      <c r="T102" s="24">
        <v>14758448</v>
      </c>
      <c r="U102" s="24">
        <v>1745996.4680000003</v>
      </c>
      <c r="V102" s="18">
        <v>0</v>
      </c>
      <c r="W102" s="13">
        <v>11216420</v>
      </c>
      <c r="X102" s="13">
        <v>0</v>
      </c>
      <c r="Y102" s="13">
        <f t="shared" si="0"/>
        <v>0</v>
      </c>
      <c r="Z102" s="13"/>
      <c r="AA102" s="28"/>
      <c r="AB102" s="25"/>
    </row>
    <row r="103" spans="2:28" s="14" customFormat="1">
      <c r="B103" s="11">
        <v>93</v>
      </c>
      <c r="C103" s="12" t="s">
        <v>265</v>
      </c>
      <c r="D103" s="12" t="s">
        <v>266</v>
      </c>
      <c r="E103" s="12" t="s">
        <v>267</v>
      </c>
      <c r="F103" s="27" t="s">
        <v>38</v>
      </c>
      <c r="G103" s="11">
        <v>2023</v>
      </c>
      <c r="H103" s="16">
        <v>45291</v>
      </c>
      <c r="I103" s="16">
        <v>45657</v>
      </c>
      <c r="J103" s="11">
        <v>2975</v>
      </c>
      <c r="K103" s="12" t="s">
        <v>264</v>
      </c>
      <c r="L103" s="16">
        <v>45409</v>
      </c>
      <c r="M103" s="12" t="s">
        <v>46</v>
      </c>
      <c r="N103" s="11" t="s">
        <v>41</v>
      </c>
      <c r="O103" s="24">
        <v>132147799</v>
      </c>
      <c r="P103" s="2">
        <v>10</v>
      </c>
      <c r="Q103" s="24">
        <v>13214779.9</v>
      </c>
      <c r="R103" s="24">
        <v>1400860.0600706199</v>
      </c>
      <c r="S103" s="24">
        <v>0</v>
      </c>
      <c r="T103" s="24">
        <v>11344632</v>
      </c>
      <c r="U103" s="24">
        <v>469287.83992937952</v>
      </c>
      <c r="V103" s="18">
        <v>0</v>
      </c>
      <c r="W103" s="13">
        <v>8621920</v>
      </c>
      <c r="X103" s="13">
        <v>0</v>
      </c>
      <c r="Y103" s="13">
        <f t="shared" si="0"/>
        <v>0</v>
      </c>
      <c r="Z103" s="13"/>
      <c r="AA103" s="28"/>
      <c r="AB103" s="25"/>
    </row>
    <row r="104" spans="2:28" s="14" customFormat="1">
      <c r="B104" s="11">
        <v>94</v>
      </c>
      <c r="C104" s="12" t="s">
        <v>268</v>
      </c>
      <c r="D104" s="12" t="s">
        <v>269</v>
      </c>
      <c r="E104" s="12" t="s">
        <v>270</v>
      </c>
      <c r="F104" s="27" t="s">
        <v>38</v>
      </c>
      <c r="G104" s="11">
        <v>2023</v>
      </c>
      <c r="H104" s="16">
        <v>45230</v>
      </c>
      <c r="I104" s="16">
        <v>45596</v>
      </c>
      <c r="J104" s="11">
        <v>2976</v>
      </c>
      <c r="K104" s="12" t="s">
        <v>271</v>
      </c>
      <c r="L104" s="16">
        <v>45350</v>
      </c>
      <c r="M104" s="12" t="s">
        <v>46</v>
      </c>
      <c r="N104" s="11" t="s">
        <v>41</v>
      </c>
      <c r="O104" s="24">
        <v>10523118</v>
      </c>
      <c r="P104" s="2">
        <v>15</v>
      </c>
      <c r="Q104" s="24">
        <v>1578467.7</v>
      </c>
      <c r="R104" s="24">
        <v>871876.55309399206</v>
      </c>
      <c r="S104" s="24">
        <v>0</v>
      </c>
      <c r="T104" s="24">
        <v>699326</v>
      </c>
      <c r="U104" s="24">
        <v>7265.1469060078962</v>
      </c>
      <c r="V104" s="18">
        <v>0</v>
      </c>
      <c r="W104" s="13">
        <v>531487</v>
      </c>
      <c r="X104" s="13">
        <v>0</v>
      </c>
      <c r="Y104" s="13">
        <f t="shared" si="0"/>
        <v>0</v>
      </c>
      <c r="Z104" s="13"/>
      <c r="AA104" s="28"/>
      <c r="AB104" s="25"/>
    </row>
    <row r="105" spans="2:28" s="14" customFormat="1">
      <c r="B105" s="11">
        <v>95</v>
      </c>
      <c r="C105" s="12" t="s">
        <v>272</v>
      </c>
      <c r="D105" s="12" t="s">
        <v>273</v>
      </c>
      <c r="E105" s="12" t="s">
        <v>274</v>
      </c>
      <c r="F105" s="27" t="s">
        <v>38</v>
      </c>
      <c r="G105" s="11">
        <v>2023</v>
      </c>
      <c r="H105" s="16">
        <v>45078</v>
      </c>
      <c r="I105" s="16">
        <v>45444</v>
      </c>
      <c r="J105" s="11">
        <v>29313</v>
      </c>
      <c r="K105" s="12" t="s">
        <v>275</v>
      </c>
      <c r="L105" s="16">
        <v>45336</v>
      </c>
      <c r="M105" s="12" t="s">
        <v>46</v>
      </c>
      <c r="N105" s="11" t="s">
        <v>41</v>
      </c>
      <c r="O105" s="24">
        <v>108180000</v>
      </c>
      <c r="P105" s="2">
        <v>10</v>
      </c>
      <c r="Q105" s="24">
        <v>10818000</v>
      </c>
      <c r="R105" s="24">
        <v>1665588.9145496599</v>
      </c>
      <c r="S105" s="24">
        <v>0</v>
      </c>
      <c r="T105" s="24">
        <v>9149636</v>
      </c>
      <c r="U105" s="24">
        <v>2775.0854503400624</v>
      </c>
      <c r="V105" s="18">
        <v>0</v>
      </c>
      <c r="W105" s="13">
        <v>6953723</v>
      </c>
      <c r="X105" s="13">
        <v>0</v>
      </c>
      <c r="Y105" s="13">
        <f t="shared" si="0"/>
        <v>0</v>
      </c>
      <c r="Z105" s="13"/>
      <c r="AA105" s="28"/>
      <c r="AB105" s="25"/>
    </row>
    <row r="106" spans="2:28" s="14" customFormat="1">
      <c r="B106" s="11">
        <v>96</v>
      </c>
      <c r="C106" s="12" t="s">
        <v>276</v>
      </c>
      <c r="D106" s="12" t="s">
        <v>277</v>
      </c>
      <c r="E106" s="12" t="s">
        <v>278</v>
      </c>
      <c r="F106" s="27" t="s">
        <v>38</v>
      </c>
      <c r="G106" s="11">
        <v>2024</v>
      </c>
      <c r="H106" s="16">
        <v>45350</v>
      </c>
      <c r="I106" s="16">
        <v>45716</v>
      </c>
      <c r="J106" s="11">
        <v>2975</v>
      </c>
      <c r="K106" s="12" t="s">
        <v>264</v>
      </c>
      <c r="L106" s="16">
        <v>45476</v>
      </c>
      <c r="M106" s="12" t="s">
        <v>46</v>
      </c>
      <c r="N106" s="11" t="s">
        <v>41</v>
      </c>
      <c r="O106" s="24">
        <v>15054421</v>
      </c>
      <c r="P106" s="2">
        <v>12.5</v>
      </c>
      <c r="Q106" s="24">
        <v>1881802.625</v>
      </c>
      <c r="R106" s="24">
        <v>392860.67327760899</v>
      </c>
      <c r="S106" s="24">
        <v>0</v>
      </c>
      <c r="T106" s="24">
        <v>1227622</v>
      </c>
      <c r="U106" s="24">
        <v>261319.95172239095</v>
      </c>
      <c r="V106" s="18">
        <v>0</v>
      </c>
      <c r="W106" s="13">
        <v>1117137</v>
      </c>
      <c r="X106" s="13">
        <v>0</v>
      </c>
      <c r="Y106" s="13">
        <f t="shared" ref="Y106:Y108" si="12">X106*91%</f>
        <v>0</v>
      </c>
      <c r="Z106" s="13"/>
      <c r="AA106" s="28"/>
      <c r="AB106" s="25"/>
    </row>
    <row r="107" spans="2:28" s="14" customFormat="1">
      <c r="B107" s="11">
        <v>97</v>
      </c>
      <c r="C107" s="12" t="s">
        <v>279</v>
      </c>
      <c r="D107" s="12" t="s">
        <v>277</v>
      </c>
      <c r="E107" s="12" t="s">
        <v>278</v>
      </c>
      <c r="F107" s="27" t="s">
        <v>38</v>
      </c>
      <c r="G107" s="11">
        <v>2024</v>
      </c>
      <c r="H107" s="16">
        <v>45350</v>
      </c>
      <c r="I107" s="16">
        <v>45716</v>
      </c>
      <c r="J107" s="11">
        <v>2975</v>
      </c>
      <c r="K107" s="12" t="s">
        <v>264</v>
      </c>
      <c r="L107" s="16">
        <v>45485</v>
      </c>
      <c r="M107" s="12" t="s">
        <v>46</v>
      </c>
      <c r="N107" s="11" t="s">
        <v>41</v>
      </c>
      <c r="O107" s="24">
        <v>15054421</v>
      </c>
      <c r="P107" s="2">
        <v>12.5</v>
      </c>
      <c r="Q107" s="24">
        <v>1881802.625</v>
      </c>
      <c r="R107" s="24">
        <v>392860.67327760899</v>
      </c>
      <c r="S107" s="24">
        <v>0</v>
      </c>
      <c r="T107" s="24">
        <v>260828</v>
      </c>
      <c r="U107" s="24">
        <v>1228113.9517223909</v>
      </c>
      <c r="V107" s="18">
        <v>0</v>
      </c>
      <c r="W107" s="13">
        <v>237353</v>
      </c>
      <c r="X107" s="13">
        <v>0</v>
      </c>
      <c r="Y107" s="13">
        <f t="shared" si="12"/>
        <v>0</v>
      </c>
      <c r="Z107" s="13"/>
      <c r="AA107" s="28"/>
      <c r="AB107" s="25"/>
    </row>
    <row r="108" spans="2:28" s="14" customFormat="1">
      <c r="B108" s="11">
        <v>98</v>
      </c>
      <c r="C108" s="12" t="s">
        <v>280</v>
      </c>
      <c r="D108" s="12" t="s">
        <v>281</v>
      </c>
      <c r="E108" s="12" t="s">
        <v>282</v>
      </c>
      <c r="F108" s="27" t="s">
        <v>38</v>
      </c>
      <c r="G108" s="11">
        <v>2024</v>
      </c>
      <c r="H108" s="16">
        <v>45350</v>
      </c>
      <c r="I108" s="16">
        <v>45716</v>
      </c>
      <c r="J108" s="11">
        <v>2975</v>
      </c>
      <c r="K108" s="12" t="s">
        <v>283</v>
      </c>
      <c r="L108" s="16">
        <v>45532</v>
      </c>
      <c r="M108" s="12" t="s">
        <v>46</v>
      </c>
      <c r="N108" s="11" t="s">
        <v>41</v>
      </c>
      <c r="O108" s="24">
        <v>232993048.56</v>
      </c>
      <c r="P108" s="2">
        <v>12.5</v>
      </c>
      <c r="Q108" s="24">
        <v>29124131.07</v>
      </c>
      <c r="R108" s="24">
        <v>5038777.0017300704</v>
      </c>
      <c r="S108" s="24">
        <v>0</v>
      </c>
      <c r="T108" s="24">
        <v>4009295</v>
      </c>
      <c r="U108" s="24">
        <v>20076059.068269931</v>
      </c>
      <c r="V108" s="18">
        <v>0</v>
      </c>
      <c r="W108" s="13">
        <v>3648458</v>
      </c>
      <c r="X108" s="13">
        <v>0</v>
      </c>
      <c r="Y108" s="13">
        <f t="shared" si="12"/>
        <v>0</v>
      </c>
      <c r="Z108" s="13"/>
      <c r="AA108" s="28"/>
      <c r="AB108" s="25"/>
    </row>
    <row r="109" spans="2:28" s="14" customFormat="1">
      <c r="B109" s="11">
        <v>99</v>
      </c>
      <c r="C109" s="12" t="s">
        <v>284</v>
      </c>
      <c r="D109" s="12" t="s">
        <v>285</v>
      </c>
      <c r="E109" s="12" t="s">
        <v>286</v>
      </c>
      <c r="F109" s="27" t="s">
        <v>38</v>
      </c>
      <c r="G109" s="11">
        <v>2023</v>
      </c>
      <c r="H109" s="16">
        <v>45291</v>
      </c>
      <c r="I109" s="16">
        <v>45657</v>
      </c>
      <c r="J109" s="11">
        <v>23002</v>
      </c>
      <c r="K109" s="12" t="s">
        <v>287</v>
      </c>
      <c r="L109" s="16">
        <v>45524</v>
      </c>
      <c r="M109" s="12" t="s">
        <v>46</v>
      </c>
      <c r="N109" s="11" t="s">
        <v>41</v>
      </c>
      <c r="O109" s="24">
        <v>1339723240</v>
      </c>
      <c r="P109" s="2">
        <v>20</v>
      </c>
      <c r="Q109" s="24">
        <v>267944648</v>
      </c>
      <c r="R109" s="24">
        <v>44543210.270594202</v>
      </c>
      <c r="S109" s="24">
        <v>0</v>
      </c>
      <c r="T109" s="24">
        <v>223290078</v>
      </c>
      <c r="U109" s="24">
        <v>111359.72940579057</v>
      </c>
      <c r="V109" s="18">
        <v>0</v>
      </c>
      <c r="W109" s="13">
        <v>169700460</v>
      </c>
      <c r="X109" s="13">
        <v>0</v>
      </c>
      <c r="Y109" s="13">
        <f t="shared" si="0"/>
        <v>0</v>
      </c>
      <c r="Z109" s="13"/>
      <c r="AA109" s="28"/>
      <c r="AB109" s="25"/>
    </row>
    <row r="110" spans="2:28" s="14" customFormat="1">
      <c r="B110" s="11">
        <v>100</v>
      </c>
      <c r="C110" s="12" t="s">
        <v>288</v>
      </c>
      <c r="D110" s="12" t="s">
        <v>289</v>
      </c>
      <c r="E110" s="12" t="s">
        <v>290</v>
      </c>
      <c r="F110" s="27" t="s">
        <v>38</v>
      </c>
      <c r="G110" s="11">
        <v>2023</v>
      </c>
      <c r="H110" s="16">
        <v>45256</v>
      </c>
      <c r="I110" s="16">
        <v>45622</v>
      </c>
      <c r="J110" s="11">
        <v>2522</v>
      </c>
      <c r="K110" s="12" t="s">
        <v>291</v>
      </c>
      <c r="L110" s="16">
        <v>45565</v>
      </c>
      <c r="M110" s="12" t="s">
        <v>46</v>
      </c>
      <c r="N110" s="11" t="s">
        <v>41</v>
      </c>
      <c r="O110" s="24">
        <v>145698451.99999997</v>
      </c>
      <c r="P110" s="2">
        <v>10</v>
      </c>
      <c r="Q110" s="24">
        <v>14569845.199999999</v>
      </c>
      <c r="R110" s="24">
        <v>4639777.88125432</v>
      </c>
      <c r="S110" s="24">
        <v>0</v>
      </c>
      <c r="T110" s="24">
        <v>9922335</v>
      </c>
      <c r="U110" s="24">
        <v>7732.3187456801534</v>
      </c>
      <c r="V110" s="18">
        <v>0</v>
      </c>
      <c r="W110" s="13">
        <v>7540974</v>
      </c>
      <c r="X110" s="13">
        <v>0</v>
      </c>
      <c r="Y110" s="13">
        <f t="shared" si="0"/>
        <v>0</v>
      </c>
      <c r="Z110" s="13"/>
      <c r="AA110" s="28"/>
      <c r="AB110" s="25"/>
    </row>
    <row r="111" spans="2:28" s="14" customFormat="1">
      <c r="B111" s="11">
        <v>101</v>
      </c>
      <c r="C111" s="12" t="s">
        <v>292</v>
      </c>
      <c r="D111" s="12" t="s">
        <v>281</v>
      </c>
      <c r="E111" s="12" t="s">
        <v>282</v>
      </c>
      <c r="F111" s="27" t="s">
        <v>38</v>
      </c>
      <c r="G111" s="11">
        <v>2024</v>
      </c>
      <c r="H111" s="16">
        <v>45350</v>
      </c>
      <c r="I111" s="16">
        <v>45716</v>
      </c>
      <c r="J111" s="11">
        <v>2975</v>
      </c>
      <c r="K111" s="12" t="s">
        <v>283</v>
      </c>
      <c r="L111" s="16">
        <v>45537</v>
      </c>
      <c r="M111" s="12" t="s">
        <v>46</v>
      </c>
      <c r="N111" s="11" t="s">
        <v>41</v>
      </c>
      <c r="O111" s="24">
        <v>232993048.56</v>
      </c>
      <c r="P111" s="2">
        <v>12.5</v>
      </c>
      <c r="Q111" s="24">
        <v>29124131.07</v>
      </c>
      <c r="R111" s="24">
        <v>5038777.0017300704</v>
      </c>
      <c r="S111" s="24">
        <v>0</v>
      </c>
      <c r="T111" s="24">
        <v>1102858</v>
      </c>
      <c r="U111" s="24">
        <v>22982496.068269931</v>
      </c>
      <c r="V111" s="18">
        <v>0</v>
      </c>
      <c r="W111" s="13">
        <v>1003601</v>
      </c>
      <c r="X111" s="13">
        <v>0</v>
      </c>
      <c r="Y111" s="13">
        <f t="shared" ref="Y111:Y112" si="13">X111*91%</f>
        <v>0</v>
      </c>
      <c r="Z111" s="13"/>
      <c r="AA111" s="28"/>
      <c r="AB111" s="25"/>
    </row>
    <row r="112" spans="2:28" s="14" customFormat="1">
      <c r="B112" s="11">
        <v>102</v>
      </c>
      <c r="C112" s="12" t="s">
        <v>293</v>
      </c>
      <c r="D112" s="12" t="s">
        <v>281</v>
      </c>
      <c r="E112" s="12" t="s">
        <v>282</v>
      </c>
      <c r="F112" s="27" t="s">
        <v>38</v>
      </c>
      <c r="G112" s="11">
        <v>2024</v>
      </c>
      <c r="H112" s="16">
        <v>45350</v>
      </c>
      <c r="I112" s="16">
        <v>45716</v>
      </c>
      <c r="J112" s="11">
        <v>2975</v>
      </c>
      <c r="K112" s="12" t="s">
        <v>283</v>
      </c>
      <c r="L112" s="16">
        <v>45547</v>
      </c>
      <c r="M112" s="12" t="s">
        <v>46</v>
      </c>
      <c r="N112" s="11" t="s">
        <v>41</v>
      </c>
      <c r="O112" s="24">
        <v>232993048.56</v>
      </c>
      <c r="P112" s="2">
        <v>12.5</v>
      </c>
      <c r="Q112" s="24">
        <v>29124131.07</v>
      </c>
      <c r="R112" s="24">
        <v>5038777.0017300704</v>
      </c>
      <c r="S112" s="24">
        <v>0</v>
      </c>
      <c r="T112" s="24">
        <v>18834729</v>
      </c>
      <c r="U112" s="24">
        <v>5250625.0682699308</v>
      </c>
      <c r="V112" s="18">
        <v>0</v>
      </c>
      <c r="W112" s="13">
        <v>17139603</v>
      </c>
      <c r="X112" s="13">
        <v>0</v>
      </c>
      <c r="Y112" s="13">
        <f t="shared" si="13"/>
        <v>0</v>
      </c>
      <c r="Z112" s="13"/>
      <c r="AA112" s="28"/>
      <c r="AB112" s="25"/>
    </row>
    <row r="113" spans="2:28" s="14" customFormat="1">
      <c r="B113" s="11">
        <v>103</v>
      </c>
      <c r="C113" s="12" t="s">
        <v>294</v>
      </c>
      <c r="D113" s="12" t="s">
        <v>295</v>
      </c>
      <c r="E113" s="12" t="s">
        <v>296</v>
      </c>
      <c r="F113" s="27" t="s">
        <v>38</v>
      </c>
      <c r="G113" s="11">
        <v>2023</v>
      </c>
      <c r="H113" s="16">
        <v>45230</v>
      </c>
      <c r="I113" s="16">
        <v>45596</v>
      </c>
      <c r="J113" s="11">
        <v>2976</v>
      </c>
      <c r="K113" s="12" t="s">
        <v>297</v>
      </c>
      <c r="L113" s="16">
        <v>45587</v>
      </c>
      <c r="M113" s="12" t="s">
        <v>46</v>
      </c>
      <c r="N113" s="11" t="s">
        <v>41</v>
      </c>
      <c r="O113" s="24">
        <v>72858067.000000015</v>
      </c>
      <c r="P113" s="2">
        <v>15</v>
      </c>
      <c r="Q113" s="24">
        <v>10928710.050000001</v>
      </c>
      <c r="R113" s="24">
        <v>1828246.58494098</v>
      </c>
      <c r="S113" s="24">
        <v>0</v>
      </c>
      <c r="T113" s="24">
        <v>9085228.9999999907</v>
      </c>
      <c r="U113" s="24">
        <v>15234.465059030801</v>
      </c>
      <c r="V113" s="18">
        <v>0</v>
      </c>
      <c r="W113" s="13">
        <v>6904773</v>
      </c>
      <c r="X113" s="13">
        <v>0</v>
      </c>
      <c r="Y113" s="13">
        <f t="shared" si="0"/>
        <v>0</v>
      </c>
      <c r="Z113" s="13"/>
      <c r="AA113" s="28"/>
      <c r="AB113" s="25"/>
    </row>
    <row r="114" spans="2:28" s="14" customFormat="1">
      <c r="B114" s="11">
        <v>104</v>
      </c>
      <c r="C114" s="12" t="s">
        <v>298</v>
      </c>
      <c r="D114" s="12" t="s">
        <v>281</v>
      </c>
      <c r="E114" s="12" t="s">
        <v>282</v>
      </c>
      <c r="F114" s="27" t="s">
        <v>38</v>
      </c>
      <c r="G114" s="11">
        <v>2024</v>
      </c>
      <c r="H114" s="16">
        <v>45350</v>
      </c>
      <c r="I114" s="16">
        <v>45716</v>
      </c>
      <c r="J114" s="11">
        <v>2975</v>
      </c>
      <c r="K114" s="12" t="s">
        <v>283</v>
      </c>
      <c r="L114" s="16">
        <v>45640</v>
      </c>
      <c r="M114" s="12" t="s">
        <v>46</v>
      </c>
      <c r="N114" s="11" t="s">
        <v>41</v>
      </c>
      <c r="O114" s="24">
        <v>232993048.56</v>
      </c>
      <c r="P114" s="2">
        <v>12.5</v>
      </c>
      <c r="Q114" s="24">
        <v>29124131.07</v>
      </c>
      <c r="R114" s="24">
        <v>5038777.0017300704</v>
      </c>
      <c r="S114" s="24">
        <v>0</v>
      </c>
      <c r="T114" s="24">
        <v>130076</v>
      </c>
      <c r="U114" s="24">
        <v>23955278.068269931</v>
      </c>
      <c r="V114" s="18">
        <v>0</v>
      </c>
      <c r="W114" s="13">
        <v>118368</v>
      </c>
      <c r="X114" s="13">
        <v>0</v>
      </c>
      <c r="Y114" s="13">
        <f t="shared" ref="Y114:Y117" si="14">X114*91%</f>
        <v>0</v>
      </c>
      <c r="Z114" s="13"/>
      <c r="AA114" s="28"/>
      <c r="AB114" s="25"/>
    </row>
    <row r="115" spans="2:28" s="14" customFormat="1">
      <c r="B115" s="11">
        <v>105</v>
      </c>
      <c r="C115" s="12" t="s">
        <v>299</v>
      </c>
      <c r="D115" s="12" t="s">
        <v>300</v>
      </c>
      <c r="E115" s="12" t="s">
        <v>301</v>
      </c>
      <c r="F115" s="27" t="s">
        <v>38</v>
      </c>
      <c r="G115" s="11">
        <v>2024</v>
      </c>
      <c r="H115" s="16">
        <v>45596</v>
      </c>
      <c r="I115" s="16">
        <v>45961</v>
      </c>
      <c r="J115" s="11">
        <v>2976</v>
      </c>
      <c r="K115" s="12" t="s">
        <v>302</v>
      </c>
      <c r="L115" s="16">
        <v>45649</v>
      </c>
      <c r="M115" s="12" t="s">
        <v>46</v>
      </c>
      <c r="N115" s="11" t="s">
        <v>41</v>
      </c>
      <c r="O115" s="24">
        <v>115740000</v>
      </c>
      <c r="P115" s="2">
        <v>15</v>
      </c>
      <c r="Q115" s="24">
        <v>17361000</v>
      </c>
      <c r="R115" s="24">
        <v>9804040.8150209505</v>
      </c>
      <c r="S115" s="24">
        <v>0</v>
      </c>
      <c r="T115" s="24">
        <v>7537352</v>
      </c>
      <c r="U115" s="24">
        <v>19607.184979049489</v>
      </c>
      <c r="V115" s="18">
        <v>0</v>
      </c>
      <c r="W115" s="13">
        <v>6858990</v>
      </c>
      <c r="X115" s="13">
        <v>0</v>
      </c>
      <c r="Y115" s="13">
        <f t="shared" si="14"/>
        <v>0</v>
      </c>
      <c r="Z115" s="13"/>
      <c r="AA115" s="28"/>
      <c r="AB115" s="25"/>
    </row>
    <row r="116" spans="2:28" s="14" customFormat="1">
      <c r="B116" s="11">
        <v>106</v>
      </c>
      <c r="C116" s="30" t="s">
        <v>303</v>
      </c>
      <c r="D116" s="30" t="s">
        <v>304</v>
      </c>
      <c r="E116" s="30" t="s">
        <v>290</v>
      </c>
      <c r="F116" s="31" t="s">
        <v>38</v>
      </c>
      <c r="G116" s="11">
        <v>2024</v>
      </c>
      <c r="H116" s="32">
        <v>45622</v>
      </c>
      <c r="I116" s="32">
        <v>45987</v>
      </c>
      <c r="J116" s="29">
        <v>2522</v>
      </c>
      <c r="K116" s="30" t="s">
        <v>291</v>
      </c>
      <c r="L116" s="32">
        <v>45720</v>
      </c>
      <c r="M116" s="30" t="s">
        <v>46</v>
      </c>
      <c r="N116" s="11" t="s">
        <v>41</v>
      </c>
      <c r="O116" s="33">
        <v>111514097540</v>
      </c>
      <c r="P116" s="34">
        <v>10</v>
      </c>
      <c r="Q116" s="33">
        <v>11151409754</v>
      </c>
      <c r="R116" s="33">
        <v>4297244498.5569696</v>
      </c>
      <c r="S116" s="33">
        <v>0</v>
      </c>
      <c r="T116" s="33">
        <v>6848435597</v>
      </c>
      <c r="U116" s="33">
        <v>5729658.4430303574</v>
      </c>
      <c r="V116" s="18">
        <v>0</v>
      </c>
      <c r="W116" s="13">
        <v>196807986</v>
      </c>
      <c r="X116" s="13">
        <v>13442840246</v>
      </c>
      <c r="Y116" s="13">
        <f t="shared" si="14"/>
        <v>12232984623.860001</v>
      </c>
      <c r="Z116" s="13"/>
      <c r="AA116" s="28" t="s">
        <v>305</v>
      </c>
      <c r="AB116" s="25"/>
    </row>
    <row r="117" spans="2:28" s="14" customFormat="1">
      <c r="B117" s="11">
        <v>107</v>
      </c>
      <c r="C117" s="12" t="s">
        <v>306</v>
      </c>
      <c r="D117" s="12" t="s">
        <v>307</v>
      </c>
      <c r="E117" s="12" t="s">
        <v>308</v>
      </c>
      <c r="F117" s="27" t="s">
        <v>38</v>
      </c>
      <c r="G117" s="11">
        <v>2024</v>
      </c>
      <c r="H117" s="16">
        <v>45622</v>
      </c>
      <c r="I117" s="16">
        <v>45987</v>
      </c>
      <c r="J117" s="11">
        <v>22111</v>
      </c>
      <c r="K117" s="12" t="s">
        <v>309</v>
      </c>
      <c r="L117" s="16">
        <v>45720</v>
      </c>
      <c r="M117" s="12" t="s">
        <v>46</v>
      </c>
      <c r="N117" s="11" t="s">
        <v>41</v>
      </c>
      <c r="O117" s="24">
        <v>11406930682</v>
      </c>
      <c r="P117" s="2">
        <v>10</v>
      </c>
      <c r="Q117" s="24">
        <v>1140693068.2</v>
      </c>
      <c r="R117" s="24">
        <v>439571060.52050799</v>
      </c>
      <c r="S117" s="24">
        <v>0</v>
      </c>
      <c r="T117" s="24">
        <v>700535913</v>
      </c>
      <c r="U117" s="24">
        <v>586094.67949199677</v>
      </c>
      <c r="V117" s="18">
        <v>0</v>
      </c>
      <c r="W117" s="13">
        <v>637487681</v>
      </c>
      <c r="X117" s="13">
        <v>0</v>
      </c>
      <c r="Y117" s="13">
        <f t="shared" si="14"/>
        <v>0</v>
      </c>
      <c r="Z117" s="13"/>
      <c r="AA117" s="28"/>
      <c r="AB117" s="25"/>
    </row>
    <row r="118" spans="2:28">
      <c r="B118" s="11">
        <v>108</v>
      </c>
      <c r="C118" s="1" t="s">
        <v>310</v>
      </c>
      <c r="D118" s="1" t="s">
        <v>311</v>
      </c>
      <c r="E118" s="1" t="s">
        <v>312</v>
      </c>
      <c r="F118" s="27" t="s">
        <v>38</v>
      </c>
      <c r="G118" s="11">
        <v>2025</v>
      </c>
      <c r="H118" s="16">
        <v>45716</v>
      </c>
      <c r="I118" s="16">
        <v>46081</v>
      </c>
      <c r="J118" s="11">
        <v>2975</v>
      </c>
      <c r="K118" s="12" t="s">
        <v>283</v>
      </c>
      <c r="L118" s="16">
        <v>45725</v>
      </c>
      <c r="M118" s="12" t="s">
        <v>46</v>
      </c>
      <c r="N118" s="11" t="s">
        <v>41</v>
      </c>
      <c r="O118" s="24">
        <v>111692776</v>
      </c>
      <c r="P118" s="2">
        <v>12.5</v>
      </c>
      <c r="Q118" s="24">
        <v>13961597</v>
      </c>
      <c r="R118" s="24">
        <v>3381701.6955017298</v>
      </c>
      <c r="S118" s="24">
        <v>1449301</v>
      </c>
      <c r="T118" s="24">
        <v>0</v>
      </c>
      <c r="U118" s="24">
        <v>9130594.3044982702</v>
      </c>
      <c r="V118" s="18">
        <v>0</v>
      </c>
      <c r="W118" s="13">
        <v>8852772</v>
      </c>
      <c r="X118" s="13">
        <v>0</v>
      </c>
      <c r="Y118" s="13">
        <f t="shared" ref="Y118:Y119" si="15">X118*97%</f>
        <v>0</v>
      </c>
      <c r="Z118" s="13"/>
      <c r="AA118" s="28"/>
      <c r="AB118" s="25"/>
    </row>
    <row r="119" spans="2:28">
      <c r="B119" s="11">
        <v>109</v>
      </c>
      <c r="C119" s="1" t="s">
        <v>310</v>
      </c>
      <c r="D119" s="1" t="s">
        <v>311</v>
      </c>
      <c r="E119" s="1" t="s">
        <v>312</v>
      </c>
      <c r="F119" s="27" t="s">
        <v>38</v>
      </c>
      <c r="G119" s="11">
        <v>2025</v>
      </c>
      <c r="H119" s="16">
        <v>45716</v>
      </c>
      <c r="I119" s="16">
        <v>46081</v>
      </c>
      <c r="J119" s="11">
        <v>2975</v>
      </c>
      <c r="K119" s="12" t="s">
        <v>283</v>
      </c>
      <c r="L119" s="16">
        <v>45725</v>
      </c>
      <c r="M119" s="12" t="s">
        <v>46</v>
      </c>
      <c r="N119" s="11" t="s">
        <v>41</v>
      </c>
      <c r="O119" s="24">
        <v>111692776</v>
      </c>
      <c r="P119" s="2">
        <v>12.5</v>
      </c>
      <c r="Q119" s="24">
        <v>13961597</v>
      </c>
      <c r="R119" s="24">
        <v>3381701.6955017298</v>
      </c>
      <c r="S119" s="24">
        <v>0</v>
      </c>
      <c r="T119" s="24">
        <v>9126569</v>
      </c>
      <c r="U119" s="24">
        <v>1453326.3044982702</v>
      </c>
      <c r="V119" s="18">
        <v>1405822</v>
      </c>
      <c r="W119" s="13">
        <v>0</v>
      </c>
      <c r="X119" s="13">
        <v>0</v>
      </c>
      <c r="Y119" s="13">
        <f t="shared" si="15"/>
        <v>0</v>
      </c>
      <c r="Z119" s="13"/>
      <c r="AA119" s="28"/>
      <c r="AB119" s="25"/>
    </row>
    <row r="120" spans="2:28">
      <c r="B120" s="11">
        <v>110</v>
      </c>
      <c r="C120" s="1" t="s">
        <v>313</v>
      </c>
      <c r="D120" s="1" t="s">
        <v>314</v>
      </c>
      <c r="E120" s="1" t="s">
        <v>315</v>
      </c>
      <c r="F120" s="27" t="s">
        <v>38</v>
      </c>
      <c r="G120" s="11">
        <v>2024</v>
      </c>
      <c r="H120" s="16">
        <v>45657</v>
      </c>
      <c r="I120" s="16">
        <v>46022</v>
      </c>
      <c r="J120" s="11">
        <v>23002</v>
      </c>
      <c r="K120" s="12" t="s">
        <v>316</v>
      </c>
      <c r="L120" s="16">
        <v>45694</v>
      </c>
      <c r="M120" s="12" t="s">
        <v>46</v>
      </c>
      <c r="N120" s="11" t="s">
        <v>41</v>
      </c>
      <c r="O120" s="24">
        <v>6979069</v>
      </c>
      <c r="P120" s="2">
        <v>20</v>
      </c>
      <c r="Q120" s="24">
        <v>1395813.8</v>
      </c>
      <c r="R120" s="24">
        <v>491307.62080127001</v>
      </c>
      <c r="S120" s="24">
        <v>0</v>
      </c>
      <c r="T120" s="24">
        <v>903522</v>
      </c>
      <c r="U120" s="24">
        <v>984.17919873003848</v>
      </c>
      <c r="V120" s="18">
        <v>0</v>
      </c>
      <c r="W120" s="13">
        <v>822206</v>
      </c>
      <c r="X120" s="13">
        <v>0</v>
      </c>
      <c r="Y120" s="13">
        <f t="shared" ref="Y120:Y127" si="16">X120*91%</f>
        <v>0</v>
      </c>
      <c r="Z120" s="13"/>
      <c r="AA120" s="28"/>
      <c r="AB120" s="25"/>
    </row>
    <row r="121" spans="2:28">
      <c r="B121" s="11">
        <v>111</v>
      </c>
      <c r="C121" s="1" t="s">
        <v>317</v>
      </c>
      <c r="D121" s="1" t="s">
        <v>318</v>
      </c>
      <c r="E121" s="1" t="s">
        <v>319</v>
      </c>
      <c r="F121" s="27" t="s">
        <v>38</v>
      </c>
      <c r="G121" s="11">
        <v>2024</v>
      </c>
      <c r="H121" s="16">
        <v>45657</v>
      </c>
      <c r="I121" s="16">
        <v>46022</v>
      </c>
      <c r="J121" s="11">
        <v>2975</v>
      </c>
      <c r="K121" s="12" t="s">
        <v>283</v>
      </c>
      <c r="L121" s="16">
        <v>45666</v>
      </c>
      <c r="M121" s="12" t="s">
        <v>46</v>
      </c>
      <c r="N121" s="11" t="s">
        <v>41</v>
      </c>
      <c r="O121" s="24">
        <v>1856447.9999999998</v>
      </c>
      <c r="P121" s="2">
        <v>10</v>
      </c>
      <c r="Q121" s="24">
        <v>185644.79999999999</v>
      </c>
      <c r="R121" s="24">
        <v>61336.387665198003</v>
      </c>
      <c r="S121" s="24">
        <v>0</v>
      </c>
      <c r="T121" s="24">
        <v>124227</v>
      </c>
      <c r="U121" s="24">
        <v>81.412334801978432</v>
      </c>
      <c r="V121" s="18">
        <v>0</v>
      </c>
      <c r="W121" s="13">
        <v>113046</v>
      </c>
      <c r="X121" s="13">
        <v>0</v>
      </c>
      <c r="Y121" s="13">
        <f t="shared" si="16"/>
        <v>0</v>
      </c>
      <c r="Z121" s="13"/>
      <c r="AA121" s="28"/>
      <c r="AB121" s="25"/>
    </row>
    <row r="122" spans="2:28">
      <c r="B122" s="11">
        <v>112</v>
      </c>
      <c r="C122" s="1" t="s">
        <v>320</v>
      </c>
      <c r="D122" s="1" t="s">
        <v>321</v>
      </c>
      <c r="E122" s="1" t="s">
        <v>263</v>
      </c>
      <c r="F122" s="27" t="s">
        <v>38</v>
      </c>
      <c r="G122" s="11">
        <v>2024</v>
      </c>
      <c r="H122" s="16">
        <v>45657</v>
      </c>
      <c r="I122" s="16">
        <v>46022</v>
      </c>
      <c r="J122" s="11">
        <v>2975</v>
      </c>
      <c r="K122" s="12" t="s">
        <v>264</v>
      </c>
      <c r="L122" s="16">
        <v>45719</v>
      </c>
      <c r="M122" s="12" t="s">
        <v>46</v>
      </c>
      <c r="N122" s="11" t="s">
        <v>41</v>
      </c>
      <c r="O122" s="24">
        <v>201281228</v>
      </c>
      <c r="P122" s="2">
        <v>10</v>
      </c>
      <c r="Q122" s="24">
        <v>20128122.800000001</v>
      </c>
      <c r="R122" s="24">
        <v>6038436.8399999999</v>
      </c>
      <c r="S122" s="24">
        <v>0</v>
      </c>
      <c r="T122" s="24">
        <v>1197500</v>
      </c>
      <c r="U122" s="24">
        <v>12892185.960000001</v>
      </c>
      <c r="V122" s="18">
        <v>0</v>
      </c>
      <c r="W122" s="13">
        <v>1089725</v>
      </c>
      <c r="X122" s="13">
        <v>0</v>
      </c>
      <c r="Y122" s="13">
        <f t="shared" si="16"/>
        <v>0</v>
      </c>
      <c r="Z122" s="13"/>
      <c r="AA122" s="28"/>
      <c r="AB122" s="25"/>
    </row>
    <row r="123" spans="2:28">
      <c r="B123" s="11">
        <v>113</v>
      </c>
      <c r="C123" s="1" t="s">
        <v>322</v>
      </c>
      <c r="D123" s="1" t="s">
        <v>323</v>
      </c>
      <c r="E123" s="1" t="s">
        <v>324</v>
      </c>
      <c r="F123" s="27" t="s">
        <v>38</v>
      </c>
      <c r="G123" s="11">
        <v>2024</v>
      </c>
      <c r="H123" s="16">
        <v>45657</v>
      </c>
      <c r="I123" s="16">
        <v>46022</v>
      </c>
      <c r="J123" s="11">
        <v>2975</v>
      </c>
      <c r="K123" s="12" t="s">
        <v>325</v>
      </c>
      <c r="L123" s="16">
        <v>45743</v>
      </c>
      <c r="M123" s="12" t="s">
        <v>46</v>
      </c>
      <c r="N123" s="11" t="s">
        <v>41</v>
      </c>
      <c r="O123" s="24">
        <v>194019208</v>
      </c>
      <c r="P123" s="2">
        <v>10</v>
      </c>
      <c r="Q123" s="24">
        <v>19401920.800000001</v>
      </c>
      <c r="R123" s="24">
        <v>8872829.6341463495</v>
      </c>
      <c r="S123" s="24">
        <v>0</v>
      </c>
      <c r="T123" s="24">
        <v>472010</v>
      </c>
      <c r="U123" s="24">
        <v>10057081.165853651</v>
      </c>
      <c r="V123" s="18">
        <v>0</v>
      </c>
      <c r="W123" s="13">
        <v>429529</v>
      </c>
      <c r="X123" s="13">
        <v>0</v>
      </c>
      <c r="Y123" s="13">
        <f t="shared" si="16"/>
        <v>0</v>
      </c>
      <c r="Z123" s="13"/>
      <c r="AA123" s="28"/>
      <c r="AB123" s="25"/>
    </row>
    <row r="124" spans="2:28">
      <c r="B124" s="11">
        <v>114</v>
      </c>
      <c r="C124" s="1" t="s">
        <v>326</v>
      </c>
      <c r="D124" s="1" t="s">
        <v>321</v>
      </c>
      <c r="E124" s="1" t="s">
        <v>263</v>
      </c>
      <c r="F124" s="27" t="s">
        <v>38</v>
      </c>
      <c r="G124" s="11">
        <v>2024</v>
      </c>
      <c r="H124" s="16">
        <v>45657</v>
      </c>
      <c r="I124" s="16">
        <v>46022</v>
      </c>
      <c r="J124" s="11">
        <v>2975</v>
      </c>
      <c r="K124" s="12" t="s">
        <v>264</v>
      </c>
      <c r="L124" s="16">
        <v>45684</v>
      </c>
      <c r="M124" s="12" t="s">
        <v>46</v>
      </c>
      <c r="N124" s="11" t="s">
        <v>41</v>
      </c>
      <c r="O124" s="26">
        <v>201281228</v>
      </c>
      <c r="P124" s="2">
        <v>10</v>
      </c>
      <c r="Q124" s="24">
        <v>20128122.800000001</v>
      </c>
      <c r="R124" s="24">
        <v>6038436.8399999999</v>
      </c>
      <c r="S124" s="24">
        <v>0</v>
      </c>
      <c r="T124" s="24">
        <v>12504674</v>
      </c>
      <c r="U124" s="24">
        <v>1585011.9600000009</v>
      </c>
      <c r="V124" s="18">
        <v>0</v>
      </c>
      <c r="W124" s="13">
        <v>11379254</v>
      </c>
      <c r="X124" s="13">
        <v>0</v>
      </c>
      <c r="Y124" s="13">
        <f t="shared" si="16"/>
        <v>0</v>
      </c>
      <c r="Z124" s="13"/>
      <c r="AA124" s="28"/>
      <c r="AB124" s="25"/>
    </row>
    <row r="125" spans="2:28">
      <c r="B125" s="11">
        <v>115</v>
      </c>
      <c r="C125" s="1" t="s">
        <v>327</v>
      </c>
      <c r="D125" s="1" t="s">
        <v>321</v>
      </c>
      <c r="E125" s="1" t="s">
        <v>263</v>
      </c>
      <c r="F125" s="27" t="s">
        <v>38</v>
      </c>
      <c r="G125" s="11">
        <v>2024</v>
      </c>
      <c r="H125" s="16">
        <v>45657</v>
      </c>
      <c r="I125" s="16">
        <v>46022</v>
      </c>
      <c r="J125" s="11">
        <v>2975</v>
      </c>
      <c r="K125" s="12" t="s">
        <v>264</v>
      </c>
      <c r="L125" s="16">
        <v>45777</v>
      </c>
      <c r="M125" s="12" t="s">
        <v>46</v>
      </c>
      <c r="N125" s="11" t="s">
        <v>41</v>
      </c>
      <c r="O125" s="26">
        <v>201281228</v>
      </c>
      <c r="P125" s="2">
        <v>10</v>
      </c>
      <c r="Q125" s="24">
        <v>20128122.800000001</v>
      </c>
      <c r="R125" s="26">
        <v>6038436.8399999999</v>
      </c>
      <c r="S125" s="26">
        <v>0</v>
      </c>
      <c r="T125" s="26">
        <v>379460</v>
      </c>
      <c r="U125" s="24">
        <v>13710225.960000001</v>
      </c>
      <c r="V125" s="18">
        <v>0</v>
      </c>
      <c r="W125" s="18">
        <v>345309</v>
      </c>
      <c r="X125" s="13">
        <v>0</v>
      </c>
      <c r="Y125" s="13">
        <f t="shared" si="16"/>
        <v>0</v>
      </c>
      <c r="Z125" s="13"/>
      <c r="AA125" s="28"/>
      <c r="AB125" s="25"/>
    </row>
    <row r="126" spans="2:28">
      <c r="B126" s="11">
        <v>116</v>
      </c>
      <c r="C126" s="1" t="s">
        <v>328</v>
      </c>
      <c r="D126" s="1" t="s">
        <v>323</v>
      </c>
      <c r="E126" s="1" t="s">
        <v>324</v>
      </c>
      <c r="F126" s="27" t="s">
        <v>38</v>
      </c>
      <c r="G126" s="11">
        <v>2024</v>
      </c>
      <c r="H126" s="16">
        <v>45657</v>
      </c>
      <c r="I126" s="16">
        <v>46022</v>
      </c>
      <c r="J126" s="11">
        <v>2975</v>
      </c>
      <c r="K126" s="12" t="s">
        <v>325</v>
      </c>
      <c r="L126" s="16">
        <v>45822</v>
      </c>
      <c r="M126" s="12" t="s">
        <v>46</v>
      </c>
      <c r="N126" s="11" t="s">
        <v>41</v>
      </c>
      <c r="O126" s="26">
        <v>194019208</v>
      </c>
      <c r="P126" s="2">
        <v>10</v>
      </c>
      <c r="Q126" s="24">
        <v>19401920.800000001</v>
      </c>
      <c r="R126" s="26">
        <v>8872829.6341463495</v>
      </c>
      <c r="S126" s="26">
        <v>0</v>
      </c>
      <c r="T126" s="26">
        <v>5159683</v>
      </c>
      <c r="U126" s="24">
        <v>5369408.1658536512</v>
      </c>
      <c r="V126" s="18">
        <v>0</v>
      </c>
      <c r="W126" s="18">
        <v>4695311</v>
      </c>
      <c r="X126" s="13">
        <v>0</v>
      </c>
      <c r="Y126" s="13">
        <f t="shared" si="16"/>
        <v>0</v>
      </c>
      <c r="Z126" s="13"/>
      <c r="AA126" s="28"/>
      <c r="AB126" s="25"/>
    </row>
    <row r="127" spans="2:28">
      <c r="B127" s="11">
        <v>117</v>
      </c>
      <c r="C127" s="1" t="s">
        <v>329</v>
      </c>
      <c r="D127" s="1" t="s">
        <v>323</v>
      </c>
      <c r="E127" s="1" t="s">
        <v>324</v>
      </c>
      <c r="F127" s="27" t="s">
        <v>38</v>
      </c>
      <c r="G127" s="11">
        <v>2024</v>
      </c>
      <c r="H127" s="16">
        <v>45657</v>
      </c>
      <c r="I127" s="16">
        <v>46022</v>
      </c>
      <c r="J127" s="11">
        <v>2975</v>
      </c>
      <c r="K127" s="12" t="s">
        <v>325</v>
      </c>
      <c r="L127" s="16">
        <v>45788</v>
      </c>
      <c r="M127" s="12" t="s">
        <v>46</v>
      </c>
      <c r="N127" s="11" t="s">
        <v>41</v>
      </c>
      <c r="O127" s="24">
        <v>194019208</v>
      </c>
      <c r="P127" s="2">
        <v>10</v>
      </c>
      <c r="Q127" s="24">
        <v>19401920.800000001</v>
      </c>
      <c r="R127" s="24">
        <v>8872829.6341463495</v>
      </c>
      <c r="S127" s="24">
        <v>0</v>
      </c>
      <c r="T127" s="24">
        <v>4885567</v>
      </c>
      <c r="U127" s="24">
        <v>5643524.1658536512</v>
      </c>
      <c r="V127" s="18">
        <v>0</v>
      </c>
      <c r="W127" s="13">
        <v>4445867</v>
      </c>
      <c r="X127" s="13">
        <v>0</v>
      </c>
      <c r="Y127" s="13">
        <f t="shared" si="16"/>
        <v>0</v>
      </c>
      <c r="Z127" s="13"/>
      <c r="AA127" s="28"/>
      <c r="AB127" s="25"/>
    </row>
    <row r="128" spans="2:28">
      <c r="B128" s="11">
        <v>118</v>
      </c>
      <c r="C128" s="1" t="s">
        <v>330</v>
      </c>
      <c r="D128" s="1" t="s">
        <v>331</v>
      </c>
      <c r="E128" s="1" t="s">
        <v>332</v>
      </c>
      <c r="F128" s="27" t="s">
        <v>38</v>
      </c>
      <c r="G128" s="11">
        <v>2025</v>
      </c>
      <c r="H128" s="16">
        <v>45716</v>
      </c>
      <c r="I128" s="16">
        <v>46081</v>
      </c>
      <c r="J128" s="11">
        <v>2975</v>
      </c>
      <c r="K128" s="12" t="s">
        <v>333</v>
      </c>
      <c r="L128" s="16">
        <v>45840</v>
      </c>
      <c r="M128" s="12" t="s">
        <v>46</v>
      </c>
      <c r="N128" s="11" t="s">
        <v>41</v>
      </c>
      <c r="O128" s="26">
        <v>7820000</v>
      </c>
      <c r="P128" s="2">
        <v>12.5</v>
      </c>
      <c r="Q128" s="24">
        <v>977500</v>
      </c>
      <c r="R128" s="26">
        <v>168572.88387966601</v>
      </c>
      <c r="S128" s="26">
        <v>72245</v>
      </c>
      <c r="T128" s="26">
        <v>0</v>
      </c>
      <c r="U128" s="24">
        <v>736682.11612033402</v>
      </c>
      <c r="V128" s="18">
        <v>0</v>
      </c>
      <c r="W128" s="18">
        <v>714428</v>
      </c>
      <c r="X128" s="13">
        <v>0</v>
      </c>
      <c r="Y128" s="13">
        <f t="shared" ref="Y128:Y129" si="17">X128*97%</f>
        <v>0</v>
      </c>
      <c r="Z128" s="13"/>
      <c r="AA128" s="28"/>
      <c r="AB128" s="25"/>
    </row>
    <row r="129" spans="2:28">
      <c r="B129" s="11">
        <v>119</v>
      </c>
      <c r="C129" s="1" t="s">
        <v>330</v>
      </c>
      <c r="D129" s="1" t="s">
        <v>331</v>
      </c>
      <c r="E129" s="1" t="s">
        <v>332</v>
      </c>
      <c r="F129" s="27" t="s">
        <v>38</v>
      </c>
      <c r="G129" s="11">
        <v>2025</v>
      </c>
      <c r="H129" s="16">
        <v>45716</v>
      </c>
      <c r="I129" s="16">
        <v>46081</v>
      </c>
      <c r="J129" s="11">
        <v>2975</v>
      </c>
      <c r="K129" s="12" t="s">
        <v>333</v>
      </c>
      <c r="L129" s="16">
        <v>45840</v>
      </c>
      <c r="M129" s="12" t="s">
        <v>46</v>
      </c>
      <c r="N129" s="11" t="s">
        <v>41</v>
      </c>
      <c r="O129" s="24">
        <v>7820000</v>
      </c>
      <c r="P129" s="2">
        <v>12.5</v>
      </c>
      <c r="Q129" s="24">
        <v>977500</v>
      </c>
      <c r="R129" s="24">
        <v>168572.88387966601</v>
      </c>
      <c r="S129" s="24">
        <v>0</v>
      </c>
      <c r="T129" s="24">
        <v>736523</v>
      </c>
      <c r="U129" s="24">
        <v>72404.116120334016</v>
      </c>
      <c r="V129" s="18">
        <v>70078</v>
      </c>
      <c r="W129" s="13">
        <v>0</v>
      </c>
      <c r="X129" s="13">
        <v>0</v>
      </c>
      <c r="Y129" s="13">
        <f t="shared" si="17"/>
        <v>0</v>
      </c>
      <c r="Z129" s="13"/>
      <c r="AA129" s="28"/>
      <c r="AB129" s="25"/>
    </row>
    <row r="130" spans="2:28">
      <c r="B130" s="11">
        <v>120</v>
      </c>
      <c r="C130" s="1" t="s">
        <v>334</v>
      </c>
      <c r="D130" s="1" t="s">
        <v>335</v>
      </c>
      <c r="E130" s="1" t="s">
        <v>286</v>
      </c>
      <c r="F130" s="27" t="s">
        <v>38</v>
      </c>
      <c r="G130" s="11">
        <v>2024</v>
      </c>
      <c r="H130" s="16">
        <v>45657</v>
      </c>
      <c r="I130" s="16">
        <v>46022</v>
      </c>
      <c r="J130" s="11">
        <v>23002</v>
      </c>
      <c r="K130" s="12" t="s">
        <v>287</v>
      </c>
      <c r="L130" s="16">
        <v>45825</v>
      </c>
      <c r="M130" s="12" t="s">
        <v>46</v>
      </c>
      <c r="N130" s="11" t="s">
        <v>41</v>
      </c>
      <c r="O130" s="24">
        <v>9238750</v>
      </c>
      <c r="P130" s="2">
        <v>20</v>
      </c>
      <c r="Q130" s="24">
        <v>1847750</v>
      </c>
      <c r="R130" s="24">
        <v>394961.03464379499</v>
      </c>
      <c r="S130" s="24">
        <v>0</v>
      </c>
      <c r="T130" s="24">
        <v>1451999</v>
      </c>
      <c r="U130" s="24">
        <v>789.96535620512441</v>
      </c>
      <c r="V130" s="18">
        <v>0</v>
      </c>
      <c r="W130" s="13">
        <v>1321319</v>
      </c>
      <c r="X130" s="13">
        <v>0</v>
      </c>
      <c r="Y130" s="13">
        <f>X130*91%</f>
        <v>0</v>
      </c>
      <c r="Z130" s="13"/>
      <c r="AA130" s="28"/>
      <c r="AB130" s="25"/>
    </row>
    <row r="131" spans="2:28">
      <c r="B131" s="11">
        <v>121</v>
      </c>
      <c r="C131" s="1" t="s">
        <v>336</v>
      </c>
      <c r="D131" s="1" t="s">
        <v>337</v>
      </c>
      <c r="E131" s="1" t="s">
        <v>338</v>
      </c>
      <c r="F131" s="27" t="s">
        <v>38</v>
      </c>
      <c r="G131" s="11">
        <v>2025</v>
      </c>
      <c r="H131" s="16">
        <v>45763</v>
      </c>
      <c r="I131" s="16">
        <v>45961</v>
      </c>
      <c r="J131" s="11">
        <v>2976</v>
      </c>
      <c r="K131" s="12" t="s">
        <v>339</v>
      </c>
      <c r="L131" s="16">
        <v>45877</v>
      </c>
      <c r="M131" s="12" t="s">
        <v>46</v>
      </c>
      <c r="N131" s="11" t="s">
        <v>41</v>
      </c>
      <c r="O131" s="24">
        <v>717332401.00000012</v>
      </c>
      <c r="P131" s="2">
        <v>15</v>
      </c>
      <c r="Q131" s="24">
        <v>107599860.15000001</v>
      </c>
      <c r="R131" s="24">
        <v>73436904.552375004</v>
      </c>
      <c r="S131" s="24">
        <v>31472959</v>
      </c>
      <c r="T131" s="24">
        <v>0</v>
      </c>
      <c r="U131" s="24">
        <v>2689996.5976250023</v>
      </c>
      <c r="V131" s="18">
        <v>30528770</v>
      </c>
      <c r="W131" s="13">
        <v>0</v>
      </c>
      <c r="X131" s="13">
        <v>3400139.8499999898</v>
      </c>
      <c r="Y131" s="13">
        <f t="shared" ref="Y131:Y138" si="18">X131*97%</f>
        <v>3298135.6544999899</v>
      </c>
      <c r="Z131" s="13"/>
      <c r="AA131" s="28"/>
      <c r="AB131" s="25"/>
    </row>
    <row r="132" spans="2:28">
      <c r="B132" s="11">
        <v>122</v>
      </c>
      <c r="C132" s="1" t="s">
        <v>340</v>
      </c>
      <c r="D132" s="1" t="s">
        <v>341</v>
      </c>
      <c r="E132" s="1" t="s">
        <v>342</v>
      </c>
      <c r="F132" s="27" t="s">
        <v>38</v>
      </c>
      <c r="G132" s="11">
        <v>2025</v>
      </c>
      <c r="H132" s="16">
        <v>45775</v>
      </c>
      <c r="I132" s="16">
        <v>46140</v>
      </c>
      <c r="J132" s="11">
        <v>2462</v>
      </c>
      <c r="K132" s="12" t="s">
        <v>343</v>
      </c>
      <c r="L132" s="16">
        <v>45909</v>
      </c>
      <c r="M132" s="12" t="s">
        <v>46</v>
      </c>
      <c r="N132" s="11" t="s">
        <v>41</v>
      </c>
      <c r="O132" s="24">
        <v>9522000</v>
      </c>
      <c r="P132" s="2">
        <v>10</v>
      </c>
      <c r="Q132" s="24">
        <v>952200</v>
      </c>
      <c r="R132" s="24">
        <v>376272.58064516197</v>
      </c>
      <c r="S132" s="24">
        <v>161260</v>
      </c>
      <c r="T132" s="24">
        <v>0</v>
      </c>
      <c r="U132" s="24">
        <v>414667.41935483809</v>
      </c>
      <c r="V132" s="18">
        <v>156422</v>
      </c>
      <c r="W132" s="13">
        <v>0</v>
      </c>
      <c r="X132" s="13">
        <v>4894200</v>
      </c>
      <c r="Y132" s="13">
        <f t="shared" si="18"/>
        <v>4747374</v>
      </c>
      <c r="Z132" s="13"/>
      <c r="AA132" s="28"/>
      <c r="AB132" s="25"/>
    </row>
    <row r="133" spans="2:28">
      <c r="B133" s="11">
        <v>123</v>
      </c>
      <c r="C133" s="1" t="s">
        <v>340</v>
      </c>
      <c r="D133" s="1" t="s">
        <v>341</v>
      </c>
      <c r="E133" s="1" t="s">
        <v>342</v>
      </c>
      <c r="F133" s="27" t="s">
        <v>38</v>
      </c>
      <c r="G133" s="11">
        <v>2025</v>
      </c>
      <c r="H133" s="16">
        <v>45775</v>
      </c>
      <c r="I133" s="16">
        <v>46140</v>
      </c>
      <c r="J133" s="11">
        <v>2462</v>
      </c>
      <c r="K133" s="12" t="s">
        <v>343</v>
      </c>
      <c r="L133" s="16">
        <v>45909</v>
      </c>
      <c r="M133" s="12" t="s">
        <v>46</v>
      </c>
      <c r="N133" s="11" t="s">
        <v>41</v>
      </c>
      <c r="O133" s="24">
        <v>9522000</v>
      </c>
      <c r="P133" s="2">
        <v>10</v>
      </c>
      <c r="Q133" s="24">
        <v>952200</v>
      </c>
      <c r="R133" s="24">
        <v>376272.58064516197</v>
      </c>
      <c r="S133" s="24">
        <v>0</v>
      </c>
      <c r="T133" s="24">
        <v>412619</v>
      </c>
      <c r="U133" s="24">
        <v>163308.41935483809</v>
      </c>
      <c r="V133" s="18">
        <v>0</v>
      </c>
      <c r="W133" s="13">
        <v>400241</v>
      </c>
      <c r="X133" s="13">
        <v>4894200</v>
      </c>
      <c r="Y133" s="13">
        <f t="shared" si="18"/>
        <v>4747374</v>
      </c>
      <c r="Z133" s="13"/>
      <c r="AA133" s="28"/>
      <c r="AB133" s="25"/>
    </row>
    <row r="134" spans="2:28">
      <c r="B134" s="11">
        <v>124</v>
      </c>
      <c r="C134" s="1" t="s">
        <v>344</v>
      </c>
      <c r="D134" s="1" t="s">
        <v>345</v>
      </c>
      <c r="E134" s="1" t="s">
        <v>346</v>
      </c>
      <c r="F134" s="27" t="s">
        <v>38</v>
      </c>
      <c r="G134" s="11">
        <v>2025</v>
      </c>
      <c r="H134" s="16">
        <v>45869</v>
      </c>
      <c r="I134" s="16">
        <v>46234</v>
      </c>
      <c r="J134" s="11">
        <v>2734</v>
      </c>
      <c r="K134" s="12" t="s">
        <v>347</v>
      </c>
      <c r="L134" s="16">
        <v>45883</v>
      </c>
      <c r="M134" s="12" t="s">
        <v>46</v>
      </c>
      <c r="N134" s="11" t="s">
        <v>41</v>
      </c>
      <c r="O134" s="26">
        <v>3222700</v>
      </c>
      <c r="P134" s="2">
        <v>5</v>
      </c>
      <c r="Q134" s="24">
        <v>161135</v>
      </c>
      <c r="R134" s="26">
        <v>109974.6375</v>
      </c>
      <c r="S134" s="26">
        <v>47132</v>
      </c>
      <c r="T134" s="26">
        <v>0</v>
      </c>
      <c r="U134" s="24">
        <v>4028.3625000000029</v>
      </c>
      <c r="V134" s="18">
        <v>45718</v>
      </c>
      <c r="W134" s="18">
        <v>0</v>
      </c>
      <c r="X134" s="13">
        <v>0</v>
      </c>
      <c r="Y134" s="13">
        <f t="shared" si="18"/>
        <v>0</v>
      </c>
      <c r="Z134" s="13"/>
      <c r="AA134" s="28"/>
      <c r="AB134" s="25"/>
    </row>
    <row r="135" spans="2:28">
      <c r="B135" s="11">
        <v>125</v>
      </c>
      <c r="C135" s="1" t="s">
        <v>348</v>
      </c>
      <c r="D135" s="1" t="s">
        <v>345</v>
      </c>
      <c r="E135" s="1" t="s">
        <v>349</v>
      </c>
      <c r="F135" s="27" t="s">
        <v>38</v>
      </c>
      <c r="G135" s="11">
        <v>2025</v>
      </c>
      <c r="H135" s="16">
        <v>45869</v>
      </c>
      <c r="I135" s="16">
        <v>46234</v>
      </c>
      <c r="J135" s="11">
        <v>2734</v>
      </c>
      <c r="K135" s="12" t="s">
        <v>347</v>
      </c>
      <c r="L135" s="16">
        <v>45873</v>
      </c>
      <c r="M135" s="12" t="s">
        <v>46</v>
      </c>
      <c r="N135" s="11" t="s">
        <v>41</v>
      </c>
      <c r="O135" s="26">
        <v>817165</v>
      </c>
      <c r="P135" s="2">
        <v>5</v>
      </c>
      <c r="Q135" s="24">
        <v>40858.25</v>
      </c>
      <c r="R135" s="26">
        <v>27885.755625000002</v>
      </c>
      <c r="S135" s="26">
        <v>11952</v>
      </c>
      <c r="T135" s="26">
        <v>0</v>
      </c>
      <c r="U135" s="24">
        <v>1020.4943749999984</v>
      </c>
      <c r="V135" s="18">
        <v>11593</v>
      </c>
      <c r="W135" s="18">
        <v>0</v>
      </c>
      <c r="X135" s="13">
        <v>150000</v>
      </c>
      <c r="Y135" s="13">
        <f t="shared" si="18"/>
        <v>145500</v>
      </c>
      <c r="Z135" s="13"/>
      <c r="AA135" s="28"/>
      <c r="AB135" s="25"/>
    </row>
    <row r="136" spans="2:28">
      <c r="B136" s="11">
        <v>126</v>
      </c>
      <c r="C136" s="1" t="s">
        <v>350</v>
      </c>
      <c r="D136" s="1" t="s">
        <v>345</v>
      </c>
      <c r="E136" s="1" t="s">
        <v>346</v>
      </c>
      <c r="F136" s="27" t="s">
        <v>38</v>
      </c>
      <c r="G136" s="11">
        <v>2025</v>
      </c>
      <c r="H136" s="16">
        <v>45869</v>
      </c>
      <c r="I136" s="16">
        <v>46234</v>
      </c>
      <c r="J136" s="11">
        <v>2734</v>
      </c>
      <c r="K136" s="12" t="s">
        <v>347</v>
      </c>
      <c r="L136" s="16">
        <v>45914</v>
      </c>
      <c r="M136" s="12" t="s">
        <v>46</v>
      </c>
      <c r="N136" s="11" t="s">
        <v>41</v>
      </c>
      <c r="O136" s="26">
        <v>6111500</v>
      </c>
      <c r="P136" s="2">
        <v>5</v>
      </c>
      <c r="Q136" s="24">
        <v>305575</v>
      </c>
      <c r="R136" s="24">
        <v>208554.9375</v>
      </c>
      <c r="S136" s="24">
        <v>89381</v>
      </c>
      <c r="T136" s="24">
        <v>0</v>
      </c>
      <c r="U136" s="24">
        <v>7639.0625</v>
      </c>
      <c r="V136" s="18">
        <v>86699</v>
      </c>
      <c r="W136" s="13">
        <v>0</v>
      </c>
      <c r="X136" s="13">
        <v>450000</v>
      </c>
      <c r="Y136" s="13">
        <f t="shared" si="18"/>
        <v>436500</v>
      </c>
      <c r="Z136" s="13"/>
      <c r="AA136" s="28"/>
      <c r="AB136" s="25"/>
    </row>
    <row r="137" spans="2:28">
      <c r="B137" s="11">
        <v>127</v>
      </c>
      <c r="C137" s="1" t="s">
        <v>351</v>
      </c>
      <c r="D137" s="1" t="s">
        <v>345</v>
      </c>
      <c r="E137" s="1" t="s">
        <v>346</v>
      </c>
      <c r="F137" s="27" t="s">
        <v>38</v>
      </c>
      <c r="G137" s="11">
        <v>2025</v>
      </c>
      <c r="H137" s="16">
        <v>45869</v>
      </c>
      <c r="I137" s="16">
        <v>46234</v>
      </c>
      <c r="J137" s="11">
        <v>2734</v>
      </c>
      <c r="K137" s="12" t="s">
        <v>347</v>
      </c>
      <c r="L137" s="16">
        <v>45918</v>
      </c>
      <c r="M137" s="12" t="s">
        <v>46</v>
      </c>
      <c r="N137" s="11" t="s">
        <v>41</v>
      </c>
      <c r="O137" s="26">
        <v>11434900</v>
      </c>
      <c r="P137" s="2">
        <v>5</v>
      </c>
      <c r="Q137" s="24">
        <v>571745</v>
      </c>
      <c r="R137" s="26">
        <v>390215.96250000002</v>
      </c>
      <c r="S137" s="26">
        <v>167235</v>
      </c>
      <c r="T137" s="26">
        <v>0</v>
      </c>
      <c r="U137" s="24">
        <v>14294.037499999977</v>
      </c>
      <c r="V137" s="18">
        <v>162218</v>
      </c>
      <c r="W137" s="18">
        <v>0</v>
      </c>
      <c r="X137" s="13">
        <v>700000</v>
      </c>
      <c r="Y137" s="13">
        <f t="shared" si="18"/>
        <v>679000</v>
      </c>
      <c r="Z137" s="13"/>
      <c r="AA137" s="28"/>
      <c r="AB137" s="25"/>
    </row>
    <row r="138" spans="2:28">
      <c r="B138" s="11">
        <v>128</v>
      </c>
      <c r="C138" s="1" t="s">
        <v>352</v>
      </c>
      <c r="D138" s="1" t="s">
        <v>345</v>
      </c>
      <c r="E138" s="1" t="s">
        <v>353</v>
      </c>
      <c r="F138" s="27" t="s">
        <v>38</v>
      </c>
      <c r="G138" s="11">
        <v>2025</v>
      </c>
      <c r="H138" s="16">
        <v>45869</v>
      </c>
      <c r="I138" s="16">
        <v>46234</v>
      </c>
      <c r="J138" s="11">
        <v>2734</v>
      </c>
      <c r="K138" s="12" t="s">
        <v>347</v>
      </c>
      <c r="L138" s="16">
        <v>45922</v>
      </c>
      <c r="M138" s="12" t="s">
        <v>46</v>
      </c>
      <c r="N138" s="11" t="s">
        <v>41</v>
      </c>
      <c r="O138" s="26">
        <v>13475930</v>
      </c>
      <c r="P138" s="2">
        <v>5</v>
      </c>
      <c r="Q138" s="24">
        <v>673796.5</v>
      </c>
      <c r="R138" s="24">
        <v>459866.11125000002</v>
      </c>
      <c r="S138" s="24">
        <v>197086</v>
      </c>
      <c r="T138" s="24">
        <v>0</v>
      </c>
      <c r="U138" s="24">
        <v>16844.388749999984</v>
      </c>
      <c r="V138" s="18">
        <v>191173</v>
      </c>
      <c r="W138" s="13">
        <v>0</v>
      </c>
      <c r="X138" s="13">
        <v>700000</v>
      </c>
      <c r="Y138" s="13">
        <f t="shared" si="18"/>
        <v>679000</v>
      </c>
      <c r="Z138" s="13"/>
      <c r="AA138" s="28"/>
      <c r="AB138" s="25"/>
    </row>
    <row r="139" spans="2:28">
      <c r="B139" s="11">
        <v>129</v>
      </c>
      <c r="C139" s="1" t="s">
        <v>354</v>
      </c>
      <c r="D139" s="1" t="s">
        <v>355</v>
      </c>
      <c r="E139" s="1" t="s">
        <v>356</v>
      </c>
      <c r="F139" s="27" t="s">
        <v>38</v>
      </c>
      <c r="G139" s="11">
        <v>2024</v>
      </c>
      <c r="H139" s="16">
        <v>45657</v>
      </c>
      <c r="I139" s="16">
        <v>46022</v>
      </c>
      <c r="J139" s="11">
        <v>29313</v>
      </c>
      <c r="K139" s="12" t="s">
        <v>357</v>
      </c>
      <c r="L139" s="16">
        <v>45795</v>
      </c>
      <c r="M139" s="12" t="s">
        <v>46</v>
      </c>
      <c r="N139" s="11" t="s">
        <v>41</v>
      </c>
      <c r="O139" s="24">
        <v>45972001</v>
      </c>
      <c r="P139" s="2">
        <v>9</v>
      </c>
      <c r="Q139" s="24">
        <v>4137480.09</v>
      </c>
      <c r="R139" s="24">
        <v>1915500.04166666</v>
      </c>
      <c r="S139" s="24">
        <v>0</v>
      </c>
      <c r="T139" s="24">
        <v>2218533</v>
      </c>
      <c r="U139" s="24">
        <v>3447.0483333398588</v>
      </c>
      <c r="V139" s="18">
        <v>0</v>
      </c>
      <c r="W139" s="13">
        <v>2018864</v>
      </c>
      <c r="X139" s="13">
        <v>0</v>
      </c>
      <c r="Y139" s="13">
        <f t="shared" ref="Y139:Y140" si="19">X139*91%</f>
        <v>0</v>
      </c>
      <c r="Z139" s="13"/>
      <c r="AA139" s="28"/>
      <c r="AB139" s="25"/>
    </row>
    <row r="140" spans="2:28">
      <c r="B140" s="11">
        <v>130</v>
      </c>
      <c r="C140" s="1" t="s">
        <v>358</v>
      </c>
      <c r="D140" s="1" t="s">
        <v>359</v>
      </c>
      <c r="E140" s="1" t="s">
        <v>360</v>
      </c>
      <c r="F140" s="27" t="s">
        <v>38</v>
      </c>
      <c r="G140" s="11">
        <v>2024</v>
      </c>
      <c r="H140" s="16">
        <v>45657</v>
      </c>
      <c r="I140" s="16">
        <v>46022</v>
      </c>
      <c r="J140" s="11">
        <v>23002</v>
      </c>
      <c r="K140" s="12" t="s">
        <v>316</v>
      </c>
      <c r="L140" s="16">
        <v>45852</v>
      </c>
      <c r="M140" s="12" t="s">
        <v>46</v>
      </c>
      <c r="N140" s="11" t="s">
        <v>41</v>
      </c>
      <c r="O140" s="24">
        <v>10402500</v>
      </c>
      <c r="P140" s="2">
        <v>20</v>
      </c>
      <c r="Q140" s="24">
        <v>2080500</v>
      </c>
      <c r="R140" s="24">
        <v>1105504.0538267801</v>
      </c>
      <c r="S140" s="24">
        <v>0</v>
      </c>
      <c r="T140" s="24">
        <v>972785</v>
      </c>
      <c r="U140" s="24">
        <v>2210.9461732199416</v>
      </c>
      <c r="V140" s="18">
        <v>0</v>
      </c>
      <c r="W140" s="13">
        <v>885234</v>
      </c>
      <c r="X140" s="13">
        <v>0</v>
      </c>
      <c r="Y140" s="13">
        <f t="shared" si="19"/>
        <v>0</v>
      </c>
      <c r="Z140" s="13"/>
      <c r="AA140" s="28"/>
      <c r="AB140" s="25"/>
    </row>
    <row r="141" spans="2:28">
      <c r="B141" s="11">
        <v>131</v>
      </c>
      <c r="C141" s="1" t="s">
        <v>361</v>
      </c>
      <c r="D141" s="1" t="s">
        <v>345</v>
      </c>
      <c r="E141" s="1" t="s">
        <v>346</v>
      </c>
      <c r="F141" s="27" t="s">
        <v>38</v>
      </c>
      <c r="G141" s="11">
        <v>2025</v>
      </c>
      <c r="H141" s="16">
        <v>45869</v>
      </c>
      <c r="I141" s="16">
        <v>46234</v>
      </c>
      <c r="J141" s="11">
        <v>2734</v>
      </c>
      <c r="K141" s="12" t="s">
        <v>347</v>
      </c>
      <c r="L141" s="16">
        <v>45886</v>
      </c>
      <c r="M141" s="12" t="s">
        <v>46</v>
      </c>
      <c r="N141" s="11" t="s">
        <v>41</v>
      </c>
      <c r="O141" s="24">
        <v>2408350</v>
      </c>
      <c r="P141" s="2">
        <v>5</v>
      </c>
      <c r="Q141" s="24">
        <v>120417.5</v>
      </c>
      <c r="R141" s="24">
        <v>82184.943750000006</v>
      </c>
      <c r="S141" s="24">
        <v>35221</v>
      </c>
      <c r="T141" s="24">
        <v>0</v>
      </c>
      <c r="U141" s="24">
        <v>3011.5562499999942</v>
      </c>
      <c r="V141" s="18">
        <v>34165</v>
      </c>
      <c r="W141" s="13">
        <v>0</v>
      </c>
      <c r="X141" s="13">
        <v>0</v>
      </c>
      <c r="Y141" s="13">
        <f t="shared" ref="Y141:Y142" si="20">X141*97%</f>
        <v>0</v>
      </c>
      <c r="Z141" s="13"/>
      <c r="AA141" s="28"/>
      <c r="AB141" s="25"/>
    </row>
    <row r="142" spans="2:28">
      <c r="B142" s="11">
        <v>132</v>
      </c>
      <c r="C142" s="1" t="s">
        <v>362</v>
      </c>
      <c r="D142" s="1" t="s">
        <v>345</v>
      </c>
      <c r="E142" s="1" t="s">
        <v>346</v>
      </c>
      <c r="F142" s="27" t="s">
        <v>38</v>
      </c>
      <c r="G142" s="11">
        <v>2025</v>
      </c>
      <c r="H142" s="16">
        <v>45869</v>
      </c>
      <c r="I142" s="16">
        <v>46234</v>
      </c>
      <c r="J142" s="11">
        <v>2734</v>
      </c>
      <c r="K142" s="12" t="s">
        <v>347</v>
      </c>
      <c r="L142" s="16">
        <v>45891</v>
      </c>
      <c r="M142" s="12" t="s">
        <v>46</v>
      </c>
      <c r="N142" s="11" t="s">
        <v>41</v>
      </c>
      <c r="O142" s="26">
        <v>6615719</v>
      </c>
      <c r="P142" s="2">
        <v>5</v>
      </c>
      <c r="Q142" s="24">
        <v>330785.95</v>
      </c>
      <c r="R142" s="26">
        <v>225761.410875</v>
      </c>
      <c r="S142" s="26">
        <v>96755</v>
      </c>
      <c r="T142" s="26">
        <v>0</v>
      </c>
      <c r="U142" s="24">
        <v>8269.5391250000102</v>
      </c>
      <c r="V142" s="18">
        <v>93852</v>
      </c>
      <c r="W142" s="18">
        <v>0</v>
      </c>
      <c r="X142" s="13">
        <v>0</v>
      </c>
      <c r="Y142" s="13">
        <f t="shared" si="20"/>
        <v>0</v>
      </c>
      <c r="Z142" s="13"/>
      <c r="AA142" s="28"/>
      <c r="AB142" s="25"/>
    </row>
    <row r="143" spans="2:28">
      <c r="B143" s="11">
        <v>133</v>
      </c>
      <c r="C143" s="1" t="s">
        <v>363</v>
      </c>
      <c r="D143" s="1" t="s">
        <v>364</v>
      </c>
      <c r="E143" s="1" t="s">
        <v>365</v>
      </c>
      <c r="F143" s="27" t="s">
        <v>38</v>
      </c>
      <c r="G143" s="11">
        <v>2023</v>
      </c>
      <c r="H143" s="16">
        <v>45199</v>
      </c>
      <c r="I143" s="16">
        <v>45565</v>
      </c>
      <c r="J143" s="11">
        <v>2433</v>
      </c>
      <c r="K143" s="12" t="s">
        <v>366</v>
      </c>
      <c r="L143" s="16">
        <v>45343</v>
      </c>
      <c r="M143" s="12" t="s">
        <v>46</v>
      </c>
      <c r="N143" s="11" t="s">
        <v>139</v>
      </c>
      <c r="O143" s="24">
        <v>1420260.6766923077</v>
      </c>
      <c r="P143" s="2">
        <v>4.55</v>
      </c>
      <c r="Q143" s="24">
        <v>64621.860789500002</v>
      </c>
      <c r="R143" s="24">
        <v>4160.4320577872404</v>
      </c>
      <c r="S143" s="24">
        <v>0</v>
      </c>
      <c r="T143" s="24">
        <v>53356.639999999999</v>
      </c>
      <c r="U143" s="24">
        <v>7104.7887317127606</v>
      </c>
      <c r="V143" s="18">
        <v>0</v>
      </c>
      <c r="W143" s="13">
        <v>40551.050000000003</v>
      </c>
      <c r="X143" s="13">
        <v>1985305361.0208001</v>
      </c>
      <c r="Y143" s="13">
        <f t="shared" si="0"/>
        <v>1508832074.375808</v>
      </c>
      <c r="Z143" s="13"/>
      <c r="AA143" s="28"/>
      <c r="AB143" s="25"/>
    </row>
    <row r="144" spans="2:28">
      <c r="B144" s="11">
        <v>134</v>
      </c>
      <c r="C144" s="1" t="s">
        <v>367</v>
      </c>
      <c r="D144" s="1" t="s">
        <v>368</v>
      </c>
      <c r="E144" s="1" t="s">
        <v>365</v>
      </c>
      <c r="F144" s="27" t="s">
        <v>38</v>
      </c>
      <c r="G144" s="11">
        <v>2023</v>
      </c>
      <c r="H144" s="16">
        <v>45199</v>
      </c>
      <c r="I144" s="16">
        <v>45565</v>
      </c>
      <c r="J144" s="11">
        <v>2433</v>
      </c>
      <c r="K144" s="12" t="s">
        <v>369</v>
      </c>
      <c r="L144" s="16">
        <v>45343</v>
      </c>
      <c r="M144" s="12" t="s">
        <v>46</v>
      </c>
      <c r="N144" s="11" t="s">
        <v>139</v>
      </c>
      <c r="O144" s="24">
        <v>1981886.5141318683</v>
      </c>
      <c r="P144" s="2">
        <v>4.55</v>
      </c>
      <c r="Q144" s="24">
        <v>90175.836393000005</v>
      </c>
      <c r="R144" s="24">
        <v>5805.6273215016499</v>
      </c>
      <c r="S144" s="24">
        <v>0</v>
      </c>
      <c r="T144" s="24">
        <v>74455.92</v>
      </c>
      <c r="U144" s="24">
        <v>9914.2890714983514</v>
      </c>
      <c r="V144" s="18">
        <v>0</v>
      </c>
      <c r="W144" s="13">
        <v>56586.5</v>
      </c>
      <c r="X144" s="13">
        <v>5336189158.5376902</v>
      </c>
      <c r="Y144" s="13">
        <f t="shared" si="0"/>
        <v>4055503760.4886446</v>
      </c>
      <c r="Z144" s="13"/>
      <c r="AA144" s="28"/>
      <c r="AB144" s="25"/>
    </row>
    <row r="145" spans="2:28">
      <c r="B145" s="11">
        <v>135</v>
      </c>
      <c r="C145" s="1" t="s">
        <v>370</v>
      </c>
      <c r="D145" s="1" t="s">
        <v>371</v>
      </c>
      <c r="E145" s="1" t="s">
        <v>365</v>
      </c>
      <c r="F145" s="27" t="s">
        <v>38</v>
      </c>
      <c r="G145" s="11">
        <v>2023</v>
      </c>
      <c r="H145" s="16">
        <v>45199</v>
      </c>
      <c r="I145" s="16">
        <v>45565</v>
      </c>
      <c r="J145" s="11">
        <v>2433</v>
      </c>
      <c r="K145" s="12" t="s">
        <v>369</v>
      </c>
      <c r="L145" s="16">
        <v>45351</v>
      </c>
      <c r="M145" s="12" t="s">
        <v>46</v>
      </c>
      <c r="N145" s="11" t="s">
        <v>139</v>
      </c>
      <c r="O145" s="24">
        <v>57975.384615384399</v>
      </c>
      <c r="P145" s="2">
        <v>4.55</v>
      </c>
      <c r="Q145" s="24">
        <v>2637.8799999999901</v>
      </c>
      <c r="R145" s="24">
        <v>169.829843686564</v>
      </c>
      <c r="S145" s="24">
        <v>0</v>
      </c>
      <c r="T145" s="24">
        <v>2178.0300000000302</v>
      </c>
      <c r="U145" s="24">
        <v>290.020156313396</v>
      </c>
      <c r="V145" s="18">
        <v>0</v>
      </c>
      <c r="W145" s="13">
        <v>1655.3</v>
      </c>
      <c r="X145" s="13">
        <v>1870536106.4400001</v>
      </c>
      <c r="Y145" s="13">
        <f t="shared" si="0"/>
        <v>1421607440.8944001</v>
      </c>
      <c r="Z145" s="13"/>
      <c r="AA145" s="28"/>
      <c r="AB145" s="25"/>
    </row>
    <row r="146" spans="2:28">
      <c r="B146" s="11">
        <v>136</v>
      </c>
      <c r="C146" s="1" t="s">
        <v>372</v>
      </c>
      <c r="D146" s="1" t="s">
        <v>373</v>
      </c>
      <c r="E146" s="1" t="s">
        <v>374</v>
      </c>
      <c r="F146" s="27" t="s">
        <v>38</v>
      </c>
      <c r="G146" s="11">
        <v>2024</v>
      </c>
      <c r="H146" s="16">
        <v>45634</v>
      </c>
      <c r="I146" s="16">
        <v>45999</v>
      </c>
      <c r="J146" s="11">
        <v>2790</v>
      </c>
      <c r="K146" s="12" t="s">
        <v>375</v>
      </c>
      <c r="L146" s="16">
        <v>45782</v>
      </c>
      <c r="M146" s="12" t="s">
        <v>46</v>
      </c>
      <c r="N146" s="11" t="s">
        <v>41</v>
      </c>
      <c r="O146" s="24">
        <v>31645840.359999999</v>
      </c>
      <c r="P146" s="2">
        <v>16.5</v>
      </c>
      <c r="Q146" s="24">
        <v>5221563.6594000002</v>
      </c>
      <c r="R146" s="24">
        <v>440154.29856047302</v>
      </c>
      <c r="S146" s="24">
        <v>0</v>
      </c>
      <c r="T146" s="24">
        <v>3256253</v>
      </c>
      <c r="U146" s="24">
        <v>1525156.3608395271</v>
      </c>
      <c r="V146" s="18">
        <v>0</v>
      </c>
      <c r="W146" s="13">
        <v>2963190</v>
      </c>
      <c r="X146" s="13">
        <v>0</v>
      </c>
      <c r="Y146" s="13">
        <f t="shared" ref="Y146:Y147" si="21">X146*91%</f>
        <v>0</v>
      </c>
      <c r="Z146" s="13"/>
      <c r="AA146" s="28"/>
      <c r="AB146" s="25"/>
    </row>
    <row r="147" spans="2:28">
      <c r="B147" s="11">
        <v>137</v>
      </c>
      <c r="C147" s="1" t="s">
        <v>376</v>
      </c>
      <c r="D147" s="1" t="s">
        <v>373</v>
      </c>
      <c r="E147" s="1" t="s">
        <v>374</v>
      </c>
      <c r="F147" s="27" t="s">
        <v>38</v>
      </c>
      <c r="G147" s="11">
        <v>2024</v>
      </c>
      <c r="H147" s="16">
        <v>45634</v>
      </c>
      <c r="I147" s="16">
        <v>45999</v>
      </c>
      <c r="J147" s="11">
        <v>2790</v>
      </c>
      <c r="K147" s="12" t="s">
        <v>375</v>
      </c>
      <c r="L147" s="16">
        <v>45824</v>
      </c>
      <c r="M147" s="12" t="s">
        <v>46</v>
      </c>
      <c r="N147" s="11" t="s">
        <v>41</v>
      </c>
      <c r="O147" s="24">
        <v>31645840.359999999</v>
      </c>
      <c r="P147" s="2">
        <v>16.5</v>
      </c>
      <c r="Q147" s="24">
        <v>5221563.6594000002</v>
      </c>
      <c r="R147" s="24">
        <v>440154.29856047302</v>
      </c>
      <c r="S147" s="24">
        <v>0</v>
      </c>
      <c r="T147" s="24">
        <v>1524431</v>
      </c>
      <c r="U147" s="24">
        <v>3256978.3608395271</v>
      </c>
      <c r="V147" s="18">
        <v>0</v>
      </c>
      <c r="W147" s="13">
        <v>1387231</v>
      </c>
      <c r="X147" s="13">
        <v>0</v>
      </c>
      <c r="Y147" s="13">
        <f t="shared" si="21"/>
        <v>0</v>
      </c>
      <c r="Z147" s="13"/>
      <c r="AA147" s="28"/>
      <c r="AB147" s="25"/>
    </row>
    <row r="148" spans="2:28">
      <c r="B148" s="11">
        <v>138</v>
      </c>
      <c r="C148" s="1" t="s">
        <v>377</v>
      </c>
      <c r="D148" s="1" t="s">
        <v>378</v>
      </c>
      <c r="E148" s="1" t="s">
        <v>379</v>
      </c>
      <c r="F148" s="27" t="s">
        <v>38</v>
      </c>
      <c r="G148" s="11">
        <v>2025</v>
      </c>
      <c r="H148" s="16">
        <v>45839</v>
      </c>
      <c r="I148" s="16">
        <v>46204</v>
      </c>
      <c r="J148" s="11">
        <v>2742</v>
      </c>
      <c r="K148" s="12" t="s">
        <v>380</v>
      </c>
      <c r="L148" s="16">
        <v>45873</v>
      </c>
      <c r="M148" s="12" t="s">
        <v>46</v>
      </c>
      <c r="N148" s="11" t="s">
        <v>41</v>
      </c>
      <c r="O148" s="24">
        <v>32500000</v>
      </c>
      <c r="P148" s="2">
        <v>15</v>
      </c>
      <c r="Q148" s="24">
        <v>4875000</v>
      </c>
      <c r="R148" s="24">
        <v>2484198.6989740599</v>
      </c>
      <c r="S148" s="24">
        <v>1064657</v>
      </c>
      <c r="T148" s="24">
        <v>0</v>
      </c>
      <c r="U148" s="24">
        <v>1326144.3010259401</v>
      </c>
      <c r="V148" s="18">
        <v>0</v>
      </c>
      <c r="W148" s="13">
        <v>1282918</v>
      </c>
      <c r="X148" s="13">
        <v>0</v>
      </c>
      <c r="Y148" s="13">
        <f t="shared" ref="Y148:Y149" si="22">X148*97%</f>
        <v>0</v>
      </c>
      <c r="Z148" s="13"/>
      <c r="AA148" s="28"/>
      <c r="AB148" s="25"/>
    </row>
    <row r="149" spans="2:28" s="14" customFormat="1">
      <c r="B149" s="11">
        <v>139</v>
      </c>
      <c r="C149" s="12" t="s">
        <v>377</v>
      </c>
      <c r="D149" s="12" t="s">
        <v>378</v>
      </c>
      <c r="E149" s="12" t="s">
        <v>379</v>
      </c>
      <c r="F149" s="27" t="s">
        <v>38</v>
      </c>
      <c r="G149" s="11">
        <v>2025</v>
      </c>
      <c r="H149" s="16">
        <v>45839</v>
      </c>
      <c r="I149" s="16">
        <v>46204</v>
      </c>
      <c r="J149" s="11">
        <v>2742</v>
      </c>
      <c r="K149" s="12" t="s">
        <v>380</v>
      </c>
      <c r="L149" s="16">
        <v>45873</v>
      </c>
      <c r="M149" s="12" t="s">
        <v>46</v>
      </c>
      <c r="N149" s="11" t="s">
        <v>41</v>
      </c>
      <c r="O149" s="24">
        <v>32500000</v>
      </c>
      <c r="P149" s="2">
        <v>15</v>
      </c>
      <c r="Q149" s="24">
        <v>4875000</v>
      </c>
      <c r="R149" s="24">
        <v>2484198.6989740599</v>
      </c>
      <c r="S149" s="24">
        <v>0</v>
      </c>
      <c r="T149" s="24">
        <v>1322596</v>
      </c>
      <c r="U149" s="24">
        <v>1068205.3010259401</v>
      </c>
      <c r="V149" s="18">
        <v>1032717</v>
      </c>
      <c r="W149" s="13">
        <v>0</v>
      </c>
      <c r="X149" s="13">
        <v>0</v>
      </c>
      <c r="Y149" s="13">
        <f t="shared" si="22"/>
        <v>0</v>
      </c>
      <c r="Z149" s="13"/>
      <c r="AA149" s="28"/>
      <c r="AB149" s="25"/>
    </row>
    <row r="150" spans="2:28">
      <c r="B150" s="11">
        <v>140</v>
      </c>
      <c r="C150" s="1" t="s">
        <v>381</v>
      </c>
      <c r="D150" s="1" t="s">
        <v>382</v>
      </c>
      <c r="E150" s="1" t="s">
        <v>383</v>
      </c>
      <c r="F150" s="27" t="s">
        <v>38</v>
      </c>
      <c r="G150" s="11">
        <v>2023</v>
      </c>
      <c r="H150" s="16">
        <v>45291</v>
      </c>
      <c r="I150" s="16">
        <v>45657</v>
      </c>
      <c r="J150" s="11">
        <v>2742</v>
      </c>
      <c r="K150" s="12" t="s">
        <v>384</v>
      </c>
      <c r="L150" s="16">
        <v>45339</v>
      </c>
      <c r="M150" s="12" t="s">
        <v>46</v>
      </c>
      <c r="N150" s="11" t="s">
        <v>41</v>
      </c>
      <c r="O150" s="24">
        <v>458758800</v>
      </c>
      <c r="P150" s="2">
        <v>7.5</v>
      </c>
      <c r="Q150" s="24">
        <v>34406910</v>
      </c>
      <c r="R150" s="24">
        <v>2232539.5461137998</v>
      </c>
      <c r="S150" s="24">
        <v>0</v>
      </c>
      <c r="T150" s="24">
        <v>32171581</v>
      </c>
      <c r="U150" s="24">
        <v>2789.4538861997426</v>
      </c>
      <c r="V150" s="18">
        <v>0</v>
      </c>
      <c r="W150" s="13">
        <v>24450401</v>
      </c>
      <c r="X150" s="13">
        <v>61167840</v>
      </c>
      <c r="Y150" s="13">
        <f t="shared" ref="Y150:Y151" si="23">X150*76%</f>
        <v>46487558.399999999</v>
      </c>
      <c r="Z150" s="13"/>
      <c r="AA150" s="28"/>
      <c r="AB150" s="25"/>
    </row>
    <row r="151" spans="2:28">
      <c r="B151" s="11">
        <v>141</v>
      </c>
      <c r="C151" s="1" t="s">
        <v>385</v>
      </c>
      <c r="D151" s="1" t="s">
        <v>386</v>
      </c>
      <c r="E151" s="1" t="s">
        <v>387</v>
      </c>
      <c r="F151" s="27" t="s">
        <v>38</v>
      </c>
      <c r="G151" s="11">
        <v>2023</v>
      </c>
      <c r="H151" s="16">
        <v>45199</v>
      </c>
      <c r="I151" s="16">
        <v>45747</v>
      </c>
      <c r="J151" s="11">
        <v>29371</v>
      </c>
      <c r="K151" s="12" t="s">
        <v>388</v>
      </c>
      <c r="L151" s="16">
        <v>45537</v>
      </c>
      <c r="M151" s="12" t="s">
        <v>46</v>
      </c>
      <c r="N151" s="11" t="s">
        <v>41</v>
      </c>
      <c r="O151" s="24">
        <v>518132700</v>
      </c>
      <c r="P151" s="2">
        <v>6</v>
      </c>
      <c r="Q151" s="24">
        <v>31087962</v>
      </c>
      <c r="R151" s="24">
        <v>9442885.4781438392</v>
      </c>
      <c r="S151" s="24">
        <v>0</v>
      </c>
      <c r="T151" s="24">
        <v>21635635</v>
      </c>
      <c r="U151" s="24">
        <v>9441.5218561589718</v>
      </c>
      <c r="V151" s="18">
        <v>0</v>
      </c>
      <c r="W151" s="13">
        <v>16443082</v>
      </c>
      <c r="X151" s="13">
        <v>31087962</v>
      </c>
      <c r="Y151" s="13">
        <f t="shared" si="23"/>
        <v>23626851.120000001</v>
      </c>
      <c r="Z151" s="13"/>
      <c r="AA151" s="28"/>
      <c r="AB151" s="25"/>
    </row>
    <row r="152" spans="2:28">
      <c r="B152" s="11">
        <v>142</v>
      </c>
      <c r="C152" s="1" t="s">
        <v>389</v>
      </c>
      <c r="D152" s="1" t="s">
        <v>390</v>
      </c>
      <c r="E152" s="1" t="s">
        <v>391</v>
      </c>
      <c r="F152" s="27" t="s">
        <v>38</v>
      </c>
      <c r="G152" s="11">
        <v>2024</v>
      </c>
      <c r="H152" s="16">
        <v>45444</v>
      </c>
      <c r="I152" s="16">
        <v>45992</v>
      </c>
      <c r="J152" s="11">
        <v>2975</v>
      </c>
      <c r="K152" s="12" t="s">
        <v>392</v>
      </c>
      <c r="L152" s="16">
        <v>45618</v>
      </c>
      <c r="M152" s="12" t="s">
        <v>46</v>
      </c>
      <c r="N152" s="11" t="s">
        <v>41</v>
      </c>
      <c r="O152" s="24">
        <v>701730060.99999988</v>
      </c>
      <c r="P152" s="2">
        <v>10</v>
      </c>
      <c r="Q152" s="24">
        <v>70173006.099999994</v>
      </c>
      <c r="R152" s="24">
        <v>21929064.40625</v>
      </c>
      <c r="S152" s="24">
        <v>0</v>
      </c>
      <c r="T152" s="24">
        <v>48214703</v>
      </c>
      <c r="U152" s="24">
        <v>29238.69374999404</v>
      </c>
      <c r="V152" s="18">
        <v>0</v>
      </c>
      <c r="W152" s="13">
        <v>43875380</v>
      </c>
      <c r="X152" s="13">
        <v>0</v>
      </c>
      <c r="Y152" s="13">
        <f t="shared" ref="Y152:Y155" si="24">X152*91%</f>
        <v>0</v>
      </c>
      <c r="Z152" s="13"/>
      <c r="AA152" s="28"/>
      <c r="AB152" s="25"/>
    </row>
    <row r="153" spans="2:28">
      <c r="B153" s="11">
        <v>143</v>
      </c>
      <c r="C153" s="1" t="s">
        <v>393</v>
      </c>
      <c r="D153" s="1" t="s">
        <v>394</v>
      </c>
      <c r="E153" s="1" t="s">
        <v>395</v>
      </c>
      <c r="F153" s="27" t="s">
        <v>38</v>
      </c>
      <c r="G153" s="11">
        <v>2024</v>
      </c>
      <c r="H153" s="16">
        <v>45444</v>
      </c>
      <c r="I153" s="16">
        <v>45992</v>
      </c>
      <c r="J153" s="11">
        <v>2972</v>
      </c>
      <c r="K153" s="12" t="s">
        <v>392</v>
      </c>
      <c r="L153" s="16">
        <v>45784</v>
      </c>
      <c r="M153" s="12" t="s">
        <v>46</v>
      </c>
      <c r="N153" s="11" t="s">
        <v>41</v>
      </c>
      <c r="O153" s="24">
        <v>83214480</v>
      </c>
      <c r="P153" s="2">
        <v>10</v>
      </c>
      <c r="Q153" s="24">
        <v>8321448</v>
      </c>
      <c r="R153" s="24">
        <v>1783167.42857143</v>
      </c>
      <c r="S153" s="24">
        <v>0</v>
      </c>
      <c r="T153" s="24">
        <v>2610595</v>
      </c>
      <c r="U153" s="24">
        <v>3927685.57142857</v>
      </c>
      <c r="V153" s="18">
        <v>0</v>
      </c>
      <c r="W153" s="13">
        <v>2375641</v>
      </c>
      <c r="X153" s="13">
        <v>0</v>
      </c>
      <c r="Y153" s="13">
        <f t="shared" si="24"/>
        <v>0</v>
      </c>
      <c r="Z153" s="13"/>
      <c r="AA153" s="28"/>
      <c r="AB153" s="25"/>
    </row>
    <row r="154" spans="2:28">
      <c r="B154" s="11">
        <v>144</v>
      </c>
      <c r="C154" s="1" t="s">
        <v>396</v>
      </c>
      <c r="D154" s="1" t="s">
        <v>397</v>
      </c>
      <c r="E154" s="1" t="s">
        <v>398</v>
      </c>
      <c r="F154" s="27" t="s">
        <v>38</v>
      </c>
      <c r="G154" s="11">
        <v>2024</v>
      </c>
      <c r="H154" s="16">
        <v>45444</v>
      </c>
      <c r="I154" s="16">
        <v>45992</v>
      </c>
      <c r="J154" s="11">
        <v>2975</v>
      </c>
      <c r="K154" s="12" t="s">
        <v>392</v>
      </c>
      <c r="L154" s="16">
        <v>45863</v>
      </c>
      <c r="M154" s="12" t="s">
        <v>46</v>
      </c>
      <c r="N154" s="11" t="s">
        <v>41</v>
      </c>
      <c r="O154" s="24">
        <v>5476500</v>
      </c>
      <c r="P154" s="2">
        <v>10</v>
      </c>
      <c r="Q154" s="24">
        <v>547650</v>
      </c>
      <c r="R154" s="24">
        <v>296347.40259740298</v>
      </c>
      <c r="S154" s="24">
        <v>0</v>
      </c>
      <c r="T154" s="24">
        <v>250907</v>
      </c>
      <c r="U154" s="24">
        <v>395.59740259702085</v>
      </c>
      <c r="V154" s="18">
        <v>0</v>
      </c>
      <c r="W154" s="13">
        <v>228326</v>
      </c>
      <c r="X154" s="13">
        <v>0</v>
      </c>
      <c r="Y154" s="13">
        <f t="shared" si="24"/>
        <v>0</v>
      </c>
      <c r="Z154" s="13"/>
      <c r="AA154" s="28"/>
      <c r="AB154" s="25"/>
    </row>
    <row r="155" spans="2:28">
      <c r="B155" s="11">
        <v>145</v>
      </c>
      <c r="C155" s="1" t="s">
        <v>399</v>
      </c>
      <c r="D155" s="1" t="s">
        <v>394</v>
      </c>
      <c r="E155" s="1" t="s">
        <v>395</v>
      </c>
      <c r="F155" s="27" t="s">
        <v>38</v>
      </c>
      <c r="G155" s="11">
        <v>2024</v>
      </c>
      <c r="H155" s="16">
        <v>45444</v>
      </c>
      <c r="I155" s="16">
        <v>45992</v>
      </c>
      <c r="J155" s="11">
        <v>2972</v>
      </c>
      <c r="K155" s="12" t="s">
        <v>392</v>
      </c>
      <c r="L155" s="16">
        <v>45881</v>
      </c>
      <c r="M155" s="12" t="s">
        <v>46</v>
      </c>
      <c r="N155" s="11" t="s">
        <v>41</v>
      </c>
      <c r="O155" s="24">
        <v>83214480</v>
      </c>
      <c r="P155" s="2">
        <v>10</v>
      </c>
      <c r="Q155" s="24">
        <v>8321448</v>
      </c>
      <c r="R155" s="24">
        <v>1783167.42857143</v>
      </c>
      <c r="S155" s="24">
        <v>0</v>
      </c>
      <c r="T155" s="24">
        <v>3925307</v>
      </c>
      <c r="U155" s="24">
        <v>2612973.57142857</v>
      </c>
      <c r="V155" s="18">
        <v>0</v>
      </c>
      <c r="W155" s="13">
        <v>3572030</v>
      </c>
      <c r="X155" s="13">
        <v>0</v>
      </c>
      <c r="Y155" s="13">
        <f t="shared" si="24"/>
        <v>0</v>
      </c>
      <c r="Z155" s="13"/>
      <c r="AA155" s="28"/>
      <c r="AB155" s="25"/>
    </row>
    <row r="156" spans="2:28">
      <c r="B156" s="11">
        <v>146</v>
      </c>
      <c r="C156" s="1" t="s">
        <v>400</v>
      </c>
      <c r="D156" s="1" t="s">
        <v>401</v>
      </c>
      <c r="E156" s="1" t="s">
        <v>402</v>
      </c>
      <c r="F156" s="27" t="s">
        <v>38</v>
      </c>
      <c r="G156" s="11">
        <v>2025</v>
      </c>
      <c r="H156" s="16">
        <v>45747</v>
      </c>
      <c r="I156" s="16">
        <v>46295</v>
      </c>
      <c r="J156" s="11">
        <v>2735</v>
      </c>
      <c r="K156" s="12" t="s">
        <v>403</v>
      </c>
      <c r="L156" s="16">
        <v>45895</v>
      </c>
      <c r="M156" s="12" t="s">
        <v>46</v>
      </c>
      <c r="N156" s="11" t="s">
        <v>41</v>
      </c>
      <c r="O156" s="24">
        <v>136282938</v>
      </c>
      <c r="P156" s="2">
        <v>6</v>
      </c>
      <c r="Q156" s="24">
        <v>8176976.2800000003</v>
      </c>
      <c r="R156" s="24">
        <v>5720627.48963142</v>
      </c>
      <c r="S156" s="24">
        <v>2451698</v>
      </c>
      <c r="T156" s="24">
        <v>0</v>
      </c>
      <c r="U156" s="24">
        <v>4650.7903685802594</v>
      </c>
      <c r="V156" s="18">
        <v>2378147</v>
      </c>
      <c r="W156" s="13">
        <v>0</v>
      </c>
      <c r="X156" s="13">
        <v>0</v>
      </c>
      <c r="Y156" s="13">
        <f t="shared" ref="Y156:Y161" si="25">X156*97%</f>
        <v>0</v>
      </c>
      <c r="Z156" s="13"/>
      <c r="AA156" s="28"/>
      <c r="AB156" s="25"/>
    </row>
    <row r="157" spans="2:28">
      <c r="B157" s="11">
        <v>147</v>
      </c>
      <c r="C157" s="1" t="s">
        <v>404</v>
      </c>
      <c r="D157" s="1" t="s">
        <v>405</v>
      </c>
      <c r="E157" s="1" t="s">
        <v>406</v>
      </c>
      <c r="F157" s="27" t="s">
        <v>38</v>
      </c>
      <c r="G157" s="11">
        <v>2025</v>
      </c>
      <c r="H157" s="16">
        <v>45717</v>
      </c>
      <c r="I157" s="16">
        <v>45992</v>
      </c>
      <c r="J157" s="11">
        <v>29313</v>
      </c>
      <c r="K157" s="12" t="s">
        <v>407</v>
      </c>
      <c r="L157" s="16">
        <v>45900</v>
      </c>
      <c r="M157" s="12" t="s">
        <v>46</v>
      </c>
      <c r="N157" s="11" t="s">
        <v>41</v>
      </c>
      <c r="O157" s="26">
        <v>5140000</v>
      </c>
      <c r="P157" s="2">
        <v>10</v>
      </c>
      <c r="Q157" s="24">
        <v>514000</v>
      </c>
      <c r="R157" s="26">
        <v>359320.26666666701</v>
      </c>
      <c r="S157" s="26">
        <v>153995</v>
      </c>
      <c r="T157" s="26">
        <v>0</v>
      </c>
      <c r="U157" s="24">
        <v>684.73333333298797</v>
      </c>
      <c r="V157" s="18">
        <v>149375</v>
      </c>
      <c r="W157" s="18">
        <v>0</v>
      </c>
      <c r="X157" s="13">
        <v>0</v>
      </c>
      <c r="Y157" s="13">
        <f t="shared" si="25"/>
        <v>0</v>
      </c>
      <c r="Z157" s="13"/>
      <c r="AA157" s="28"/>
      <c r="AB157" s="25"/>
    </row>
    <row r="158" spans="2:28">
      <c r="B158" s="11">
        <v>148</v>
      </c>
      <c r="C158" s="1" t="s">
        <v>408</v>
      </c>
      <c r="D158" s="1" t="s">
        <v>409</v>
      </c>
      <c r="E158" s="1" t="s">
        <v>410</v>
      </c>
      <c r="F158" s="27" t="s">
        <v>38</v>
      </c>
      <c r="G158" s="11">
        <v>2025</v>
      </c>
      <c r="H158" s="16">
        <v>45747</v>
      </c>
      <c r="I158" s="16">
        <v>46295</v>
      </c>
      <c r="J158" s="11">
        <v>29371</v>
      </c>
      <c r="K158" s="12" t="s">
        <v>237</v>
      </c>
      <c r="L158" s="16">
        <v>45815</v>
      </c>
      <c r="M158" s="12" t="s">
        <v>46</v>
      </c>
      <c r="N158" s="11" t="s">
        <v>41</v>
      </c>
      <c r="O158" s="24">
        <v>6177600</v>
      </c>
      <c r="P158" s="2">
        <v>6</v>
      </c>
      <c r="Q158" s="24">
        <v>370656</v>
      </c>
      <c r="R158" s="24">
        <v>257475.87023390899</v>
      </c>
      <c r="S158" s="24">
        <v>110346</v>
      </c>
      <c r="T158" s="24">
        <v>0</v>
      </c>
      <c r="U158" s="24">
        <v>2834.1297660910059</v>
      </c>
      <c r="V158" s="18">
        <v>107036</v>
      </c>
      <c r="W158" s="13">
        <v>0</v>
      </c>
      <c r="X158" s="13">
        <v>0</v>
      </c>
      <c r="Y158" s="13">
        <f t="shared" si="25"/>
        <v>0</v>
      </c>
      <c r="Z158" s="13"/>
      <c r="AA158" s="28"/>
      <c r="AB158" s="25"/>
    </row>
    <row r="159" spans="2:28">
      <c r="B159" s="11">
        <v>149</v>
      </c>
      <c r="C159" s="1" t="s">
        <v>411</v>
      </c>
      <c r="D159" s="1" t="s">
        <v>401</v>
      </c>
      <c r="E159" s="1" t="s">
        <v>402</v>
      </c>
      <c r="F159" s="27" t="s">
        <v>38</v>
      </c>
      <c r="G159" s="11">
        <v>2025</v>
      </c>
      <c r="H159" s="16">
        <v>45747</v>
      </c>
      <c r="I159" s="16">
        <v>46295</v>
      </c>
      <c r="J159" s="11">
        <v>2735</v>
      </c>
      <c r="K159" s="12" t="s">
        <v>403</v>
      </c>
      <c r="L159" s="16">
        <v>45920</v>
      </c>
      <c r="M159" s="12" t="s">
        <v>46</v>
      </c>
      <c r="N159" s="11" t="s">
        <v>41</v>
      </c>
      <c r="O159" s="26">
        <v>49524182</v>
      </c>
      <c r="P159" s="2">
        <v>6</v>
      </c>
      <c r="Q159" s="24">
        <v>2971450.92</v>
      </c>
      <c r="R159" s="26">
        <v>2078832.47241638</v>
      </c>
      <c r="S159" s="26">
        <v>890928</v>
      </c>
      <c r="T159" s="26">
        <v>0</v>
      </c>
      <c r="U159" s="24">
        <v>1690.4475836199708</v>
      </c>
      <c r="V159" s="18">
        <v>864200</v>
      </c>
      <c r="W159" s="18">
        <v>0</v>
      </c>
      <c r="X159" s="13">
        <v>0</v>
      </c>
      <c r="Y159" s="13">
        <f t="shared" si="25"/>
        <v>0</v>
      </c>
      <c r="Z159" s="13"/>
      <c r="AA159" s="28"/>
      <c r="AB159" s="25"/>
    </row>
    <row r="160" spans="2:28">
      <c r="B160" s="11">
        <v>150</v>
      </c>
      <c r="C160" s="1" t="s">
        <v>412</v>
      </c>
      <c r="D160" s="1" t="s">
        <v>413</v>
      </c>
      <c r="E160" s="1" t="s">
        <v>414</v>
      </c>
      <c r="F160" s="27" t="s">
        <v>38</v>
      </c>
      <c r="G160" s="11">
        <v>2025</v>
      </c>
      <c r="H160" s="16">
        <v>45919</v>
      </c>
      <c r="I160" s="16">
        <v>46284</v>
      </c>
      <c r="J160" s="11">
        <v>2734</v>
      </c>
      <c r="K160" s="12" t="s">
        <v>347</v>
      </c>
      <c r="L160" s="16">
        <v>45947</v>
      </c>
      <c r="M160" s="12" t="s">
        <v>46</v>
      </c>
      <c r="N160" s="11" t="s">
        <v>41</v>
      </c>
      <c r="O160" s="24">
        <v>148528783</v>
      </c>
      <c r="P160" s="2">
        <v>45</v>
      </c>
      <c r="Q160" s="24">
        <v>66837952.350000001</v>
      </c>
      <c r="R160" s="24">
        <v>45616902.478874996</v>
      </c>
      <c r="S160" s="24">
        <v>19550101</v>
      </c>
      <c r="T160" s="24">
        <v>0</v>
      </c>
      <c r="U160" s="24">
        <v>1670948.8711250052</v>
      </c>
      <c r="V160" s="18">
        <v>18963598</v>
      </c>
      <c r="W160" s="13">
        <v>0</v>
      </c>
      <c r="X160" s="13">
        <v>126000000</v>
      </c>
      <c r="Y160" s="13">
        <f t="shared" si="25"/>
        <v>122220000</v>
      </c>
      <c r="Z160" s="13"/>
      <c r="AA160" s="28"/>
      <c r="AB160" s="25"/>
    </row>
    <row r="161" spans="2:28">
      <c r="B161" s="11">
        <v>151</v>
      </c>
      <c r="C161" s="1" t="s">
        <v>415</v>
      </c>
      <c r="D161" s="1" t="s">
        <v>416</v>
      </c>
      <c r="E161" s="1" t="s">
        <v>414</v>
      </c>
      <c r="F161" s="27" t="s">
        <v>38</v>
      </c>
      <c r="G161" s="11">
        <v>2025</v>
      </c>
      <c r="H161" s="16">
        <v>45919</v>
      </c>
      <c r="I161" s="16">
        <v>46284</v>
      </c>
      <c r="J161" s="11">
        <v>2734</v>
      </c>
      <c r="K161" s="12" t="s">
        <v>347</v>
      </c>
      <c r="L161" s="16">
        <v>45947</v>
      </c>
      <c r="M161" s="12" t="s">
        <v>46</v>
      </c>
      <c r="N161" s="11" t="s">
        <v>41</v>
      </c>
      <c r="O161" s="26">
        <v>74977560</v>
      </c>
      <c r="P161" s="2">
        <v>45</v>
      </c>
      <c r="Q161" s="24">
        <v>33739902</v>
      </c>
      <c r="R161" s="26">
        <v>23027483.114999998</v>
      </c>
      <c r="S161" s="26">
        <v>9868921</v>
      </c>
      <c r="T161" s="26">
        <v>0</v>
      </c>
      <c r="U161" s="24">
        <v>843497.88500000164</v>
      </c>
      <c r="V161" s="18">
        <v>9572854</v>
      </c>
      <c r="W161" s="18">
        <v>0</v>
      </c>
      <c r="X161" s="13">
        <v>32850000</v>
      </c>
      <c r="Y161" s="13">
        <f t="shared" si="25"/>
        <v>31864500</v>
      </c>
      <c r="Z161" s="13"/>
      <c r="AA161" s="28"/>
      <c r="AB161" s="25"/>
    </row>
    <row r="162" spans="2:28">
      <c r="B162" s="11">
        <v>152</v>
      </c>
      <c r="C162" s="1" t="s">
        <v>417</v>
      </c>
      <c r="D162" s="1" t="s">
        <v>418</v>
      </c>
      <c r="E162" s="1" t="s">
        <v>419</v>
      </c>
      <c r="F162" s="27" t="s">
        <v>38</v>
      </c>
      <c r="G162" s="11">
        <v>2024</v>
      </c>
      <c r="H162" s="16">
        <v>45474</v>
      </c>
      <c r="I162" s="16">
        <v>45839</v>
      </c>
      <c r="J162" s="11">
        <v>2462</v>
      </c>
      <c r="K162" s="12" t="s">
        <v>420</v>
      </c>
      <c r="L162" s="16">
        <v>45605</v>
      </c>
      <c r="M162" s="12" t="s">
        <v>46</v>
      </c>
      <c r="N162" s="11" t="s">
        <v>41</v>
      </c>
      <c r="O162" s="24">
        <v>29847150</v>
      </c>
      <c r="P162" s="2">
        <v>10</v>
      </c>
      <c r="Q162" s="24">
        <v>2984715</v>
      </c>
      <c r="R162" s="24">
        <v>638015.51067679701</v>
      </c>
      <c r="S162" s="24">
        <v>0</v>
      </c>
      <c r="T162" s="24">
        <v>2341839</v>
      </c>
      <c r="U162" s="24">
        <v>4860.4893232029863</v>
      </c>
      <c r="V162" s="18">
        <v>0</v>
      </c>
      <c r="W162" s="13">
        <v>2131073</v>
      </c>
      <c r="X162" s="13">
        <v>12000000</v>
      </c>
      <c r="Y162" s="13">
        <f t="shared" ref="Y162:Y163" si="26">X162*91%</f>
        <v>10920000</v>
      </c>
      <c r="Z162" s="13"/>
      <c r="AA162" s="28"/>
      <c r="AB162" s="25"/>
    </row>
    <row r="163" spans="2:28">
      <c r="B163" s="11">
        <v>153</v>
      </c>
      <c r="C163" s="1" t="s">
        <v>421</v>
      </c>
      <c r="D163" s="1" t="s">
        <v>422</v>
      </c>
      <c r="E163" s="1" t="s">
        <v>423</v>
      </c>
      <c r="F163" s="27" t="s">
        <v>38</v>
      </c>
      <c r="G163" s="11">
        <v>2024</v>
      </c>
      <c r="H163" s="16">
        <v>45474</v>
      </c>
      <c r="I163" s="16">
        <v>45839</v>
      </c>
      <c r="J163" s="11">
        <v>2462</v>
      </c>
      <c r="K163" s="12" t="s">
        <v>420</v>
      </c>
      <c r="L163" s="16">
        <v>45605</v>
      </c>
      <c r="M163" s="12" t="s">
        <v>46</v>
      </c>
      <c r="N163" s="11" t="s">
        <v>139</v>
      </c>
      <c r="O163" s="24">
        <v>3925</v>
      </c>
      <c r="P163" s="2">
        <v>10</v>
      </c>
      <c r="Q163" s="24">
        <v>392.5</v>
      </c>
      <c r="R163" s="24">
        <v>271.34686172712998</v>
      </c>
      <c r="S163" s="24">
        <v>0</v>
      </c>
      <c r="T163" s="24">
        <v>119.08</v>
      </c>
      <c r="U163" s="24">
        <v>2.0731382728700254</v>
      </c>
      <c r="V163" s="18">
        <v>0</v>
      </c>
      <c r="W163" s="13">
        <v>108.37</v>
      </c>
      <c r="X163" s="13">
        <v>0</v>
      </c>
      <c r="Y163" s="13">
        <f t="shared" si="26"/>
        <v>0</v>
      </c>
      <c r="Z163" s="13"/>
      <c r="AA163" s="28"/>
      <c r="AB163" s="25"/>
    </row>
    <row r="164" spans="2:28">
      <c r="B164" s="11">
        <v>154</v>
      </c>
      <c r="C164" s="1" t="s">
        <v>424</v>
      </c>
      <c r="D164" s="1" t="s">
        <v>425</v>
      </c>
      <c r="E164" s="1" t="s">
        <v>426</v>
      </c>
      <c r="F164" s="27" t="s">
        <v>38</v>
      </c>
      <c r="G164" s="11">
        <v>2025</v>
      </c>
      <c r="H164" s="16">
        <v>45741</v>
      </c>
      <c r="I164" s="16">
        <v>45925</v>
      </c>
      <c r="J164" s="11">
        <v>2418</v>
      </c>
      <c r="K164" s="12" t="s">
        <v>427</v>
      </c>
      <c r="L164" s="16">
        <v>45758</v>
      </c>
      <c r="M164" s="12" t="s">
        <v>46</v>
      </c>
      <c r="N164" s="11" t="s">
        <v>41</v>
      </c>
      <c r="O164" s="24">
        <v>143231160</v>
      </c>
      <c r="P164" s="2">
        <v>7.5</v>
      </c>
      <c r="Q164" s="24">
        <v>10742337</v>
      </c>
      <c r="R164" s="24">
        <v>2900851.0805973001</v>
      </c>
      <c r="S164" s="24">
        <v>1243221</v>
      </c>
      <c r="T164" s="24">
        <v>0</v>
      </c>
      <c r="U164" s="24">
        <v>6598264.9194026999</v>
      </c>
      <c r="V164" s="18">
        <v>1205925</v>
      </c>
      <c r="W164" s="13">
        <v>0</v>
      </c>
      <c r="X164" s="13">
        <v>0</v>
      </c>
      <c r="Y164" s="13">
        <f t="shared" ref="Y164:Y170" si="27">X164*97%</f>
        <v>0</v>
      </c>
      <c r="Z164" s="13"/>
      <c r="AA164" s="28"/>
      <c r="AB164" s="25"/>
    </row>
    <row r="165" spans="2:28">
      <c r="B165" s="11">
        <v>155</v>
      </c>
      <c r="C165" s="1" t="s">
        <v>424</v>
      </c>
      <c r="D165" s="1" t="s">
        <v>425</v>
      </c>
      <c r="E165" s="1" t="s">
        <v>426</v>
      </c>
      <c r="F165" s="27" t="s">
        <v>38</v>
      </c>
      <c r="G165" s="11">
        <v>2025</v>
      </c>
      <c r="H165" s="16">
        <v>45741</v>
      </c>
      <c r="I165" s="16">
        <v>45925</v>
      </c>
      <c r="J165" s="11">
        <v>2418</v>
      </c>
      <c r="K165" s="12" t="s">
        <v>427</v>
      </c>
      <c r="L165" s="16">
        <v>45758</v>
      </c>
      <c r="M165" s="12" t="s">
        <v>46</v>
      </c>
      <c r="N165" s="11" t="s">
        <v>41</v>
      </c>
      <c r="O165" s="24">
        <v>143231160</v>
      </c>
      <c r="P165" s="2">
        <v>7.5</v>
      </c>
      <c r="Q165" s="24">
        <v>10742337</v>
      </c>
      <c r="R165" s="24">
        <v>2900851.0805973001</v>
      </c>
      <c r="S165" s="24">
        <v>0</v>
      </c>
      <c r="T165" s="24">
        <v>6586423</v>
      </c>
      <c r="U165" s="24">
        <v>1255062.9194026999</v>
      </c>
      <c r="V165" s="18">
        <v>0</v>
      </c>
      <c r="W165" s="13">
        <v>6388831</v>
      </c>
      <c r="X165" s="13">
        <v>0</v>
      </c>
      <c r="Y165" s="13">
        <f t="shared" si="27"/>
        <v>0</v>
      </c>
      <c r="Z165" s="13"/>
      <c r="AA165" s="28"/>
      <c r="AB165" s="25"/>
    </row>
    <row r="166" spans="2:28">
      <c r="B166" s="11">
        <v>156</v>
      </c>
      <c r="C166" s="1" t="s">
        <v>428</v>
      </c>
      <c r="D166" s="1" t="s">
        <v>429</v>
      </c>
      <c r="E166" s="1" t="s">
        <v>430</v>
      </c>
      <c r="F166" s="27" t="s">
        <v>38</v>
      </c>
      <c r="G166" s="11">
        <v>2025</v>
      </c>
      <c r="H166" s="16">
        <v>45701</v>
      </c>
      <c r="I166" s="16">
        <v>46066</v>
      </c>
      <c r="J166" s="11">
        <v>2465</v>
      </c>
      <c r="K166" s="12" t="s">
        <v>431</v>
      </c>
      <c r="L166" s="16">
        <v>45785</v>
      </c>
      <c r="M166" s="12" t="s">
        <v>46</v>
      </c>
      <c r="N166" s="11" t="s">
        <v>41</v>
      </c>
      <c r="O166" s="24">
        <v>-17958184.615384616</v>
      </c>
      <c r="P166" s="2">
        <v>6.5</v>
      </c>
      <c r="Q166" s="24">
        <v>-1167282</v>
      </c>
      <c r="R166" s="24">
        <v>-796669.96500000299</v>
      </c>
      <c r="S166" s="24">
        <v>-341428.99999999901</v>
      </c>
      <c r="T166" s="24">
        <v>0</v>
      </c>
      <c r="U166" s="24">
        <v>-29183.034999997995</v>
      </c>
      <c r="V166" s="18">
        <v>-331187.00000000099</v>
      </c>
      <c r="W166" s="13">
        <v>0</v>
      </c>
      <c r="X166" s="13">
        <v>0</v>
      </c>
      <c r="Y166" s="13">
        <f t="shared" si="27"/>
        <v>0</v>
      </c>
      <c r="Z166" s="13"/>
      <c r="AA166" s="28"/>
      <c r="AB166" s="25"/>
    </row>
    <row r="167" spans="2:28">
      <c r="B167" s="11">
        <v>157</v>
      </c>
      <c r="C167" s="1" t="s">
        <v>432</v>
      </c>
      <c r="D167" s="1" t="s">
        <v>433</v>
      </c>
      <c r="E167" s="1" t="s">
        <v>434</v>
      </c>
      <c r="F167" s="27" t="s">
        <v>38</v>
      </c>
      <c r="G167" s="11">
        <v>2025</v>
      </c>
      <c r="H167" s="16">
        <v>45737</v>
      </c>
      <c r="I167" s="16">
        <v>46102</v>
      </c>
      <c r="J167" s="11">
        <v>2423</v>
      </c>
      <c r="K167" s="12" t="s">
        <v>435</v>
      </c>
      <c r="L167" s="16">
        <v>45796</v>
      </c>
      <c r="M167" s="12" t="s">
        <v>46</v>
      </c>
      <c r="N167" s="11" t="s">
        <v>41</v>
      </c>
      <c r="O167" s="26">
        <v>515004545.69999999</v>
      </c>
      <c r="P167" s="2">
        <v>10</v>
      </c>
      <c r="Q167" s="24">
        <v>51500454.57</v>
      </c>
      <c r="R167" s="26">
        <v>35440329.735395901</v>
      </c>
      <c r="S167" s="26">
        <v>15188712</v>
      </c>
      <c r="T167" s="26">
        <v>0</v>
      </c>
      <c r="U167" s="24">
        <v>871412.83460409939</v>
      </c>
      <c r="V167" s="18">
        <v>14733051</v>
      </c>
      <c r="W167" s="18">
        <v>0</v>
      </c>
      <c r="X167" s="13">
        <v>0</v>
      </c>
      <c r="Y167" s="13">
        <f t="shared" si="27"/>
        <v>0</v>
      </c>
      <c r="Z167" s="13"/>
      <c r="AA167" s="28"/>
      <c r="AB167" s="25"/>
    </row>
    <row r="168" spans="2:28">
      <c r="B168" s="11">
        <v>158</v>
      </c>
      <c r="C168" s="1" t="s">
        <v>436</v>
      </c>
      <c r="D168" s="1" t="s">
        <v>437</v>
      </c>
      <c r="E168" s="1" t="s">
        <v>438</v>
      </c>
      <c r="F168" s="27" t="s">
        <v>38</v>
      </c>
      <c r="G168" s="11">
        <v>2025</v>
      </c>
      <c r="H168" s="16">
        <v>45784</v>
      </c>
      <c r="I168" s="16">
        <v>46149</v>
      </c>
      <c r="J168" s="11">
        <v>29313</v>
      </c>
      <c r="K168" s="12" t="s">
        <v>439</v>
      </c>
      <c r="L168" s="16">
        <v>45854</v>
      </c>
      <c r="M168" s="12" t="s">
        <v>46</v>
      </c>
      <c r="N168" s="11" t="s">
        <v>41</v>
      </c>
      <c r="O168" s="26">
        <v>44163720</v>
      </c>
      <c r="P168" s="2">
        <v>20</v>
      </c>
      <c r="Q168" s="24">
        <v>8832744</v>
      </c>
      <c r="R168" s="26">
        <v>6059262.3839999996</v>
      </c>
      <c r="S168" s="26">
        <v>2596827</v>
      </c>
      <c r="T168" s="26">
        <v>0</v>
      </c>
      <c r="U168" s="24">
        <v>176654.61600000039</v>
      </c>
      <c r="V168" s="18">
        <v>2518922</v>
      </c>
      <c r="W168" s="18">
        <v>0</v>
      </c>
      <c r="X168" s="13">
        <v>0</v>
      </c>
      <c r="Y168" s="13">
        <f t="shared" si="27"/>
        <v>0</v>
      </c>
      <c r="Z168" s="13"/>
      <c r="AA168" s="28"/>
      <c r="AB168" s="25"/>
    </row>
    <row r="169" spans="2:28">
      <c r="B169" s="11">
        <v>159</v>
      </c>
      <c r="C169" s="1" t="s">
        <v>440</v>
      </c>
      <c r="D169" s="1" t="s">
        <v>441</v>
      </c>
      <c r="E169" s="1" t="s">
        <v>442</v>
      </c>
      <c r="F169" s="27" t="s">
        <v>38</v>
      </c>
      <c r="G169" s="11">
        <v>2025</v>
      </c>
      <c r="H169" s="16">
        <v>45751</v>
      </c>
      <c r="I169" s="16">
        <v>46116</v>
      </c>
      <c r="J169" s="11">
        <v>2462</v>
      </c>
      <c r="K169" s="12" t="s">
        <v>443</v>
      </c>
      <c r="L169" s="16">
        <v>45875</v>
      </c>
      <c r="M169" s="12" t="s">
        <v>46</v>
      </c>
      <c r="N169" s="11" t="s">
        <v>41</v>
      </c>
      <c r="O169" s="24">
        <v>36896217.999999993</v>
      </c>
      <c r="P169" s="2">
        <v>10</v>
      </c>
      <c r="Q169" s="24">
        <v>3689621.8</v>
      </c>
      <c r="R169" s="24">
        <v>2572657.9120748602</v>
      </c>
      <c r="S169" s="24">
        <v>1102568</v>
      </c>
      <c r="T169" s="24">
        <v>0</v>
      </c>
      <c r="U169" s="24">
        <v>14395.887925139628</v>
      </c>
      <c r="V169" s="18">
        <v>1069491</v>
      </c>
      <c r="W169" s="13">
        <v>0</v>
      </c>
      <c r="X169" s="13">
        <v>0</v>
      </c>
      <c r="Y169" s="13">
        <f t="shared" si="27"/>
        <v>0</v>
      </c>
      <c r="Z169" s="13"/>
      <c r="AA169" s="28"/>
      <c r="AB169" s="25"/>
    </row>
    <row r="170" spans="2:28">
      <c r="B170" s="11">
        <v>160</v>
      </c>
      <c r="C170" s="1" t="s">
        <v>444</v>
      </c>
      <c r="D170" s="1" t="s">
        <v>445</v>
      </c>
      <c r="E170" s="1" t="s">
        <v>446</v>
      </c>
      <c r="F170" s="27" t="s">
        <v>38</v>
      </c>
      <c r="G170" s="11">
        <v>2025</v>
      </c>
      <c r="H170" s="16">
        <v>45751</v>
      </c>
      <c r="I170" s="16">
        <v>46116</v>
      </c>
      <c r="J170" s="11">
        <v>2462</v>
      </c>
      <c r="K170" s="12" t="s">
        <v>443</v>
      </c>
      <c r="L170" s="16">
        <v>45875</v>
      </c>
      <c r="M170" s="12" t="s">
        <v>46</v>
      </c>
      <c r="N170" s="11" t="s">
        <v>139</v>
      </c>
      <c r="O170" s="26">
        <v>3308.85</v>
      </c>
      <c r="P170" s="2">
        <v>10</v>
      </c>
      <c r="Q170" s="24">
        <v>330.88499999999999</v>
      </c>
      <c r="R170" s="26">
        <v>230.71576421108799</v>
      </c>
      <c r="S170" s="26">
        <v>98.88</v>
      </c>
      <c r="T170" s="26">
        <v>0</v>
      </c>
      <c r="U170" s="24">
        <v>1.2892357889120092</v>
      </c>
      <c r="V170" s="18">
        <v>95.91</v>
      </c>
      <c r="W170" s="18">
        <v>0</v>
      </c>
      <c r="X170" s="13">
        <v>0</v>
      </c>
      <c r="Y170" s="13">
        <f t="shared" si="27"/>
        <v>0</v>
      </c>
      <c r="Z170" s="13"/>
      <c r="AA170" s="28"/>
      <c r="AB170" s="25"/>
    </row>
    <row r="171" spans="2:28">
      <c r="B171" s="11">
        <v>161</v>
      </c>
      <c r="C171" s="1" t="s">
        <v>447</v>
      </c>
      <c r="D171" s="1" t="s">
        <v>448</v>
      </c>
      <c r="E171" s="1" t="s">
        <v>449</v>
      </c>
      <c r="F171" s="27" t="s">
        <v>38</v>
      </c>
      <c r="G171" s="11">
        <v>2024</v>
      </c>
      <c r="H171" s="16">
        <v>45627</v>
      </c>
      <c r="I171" s="16">
        <v>45992</v>
      </c>
      <c r="J171" s="11">
        <v>2468</v>
      </c>
      <c r="K171" s="12" t="s">
        <v>450</v>
      </c>
      <c r="L171" s="16">
        <v>45800</v>
      </c>
      <c r="M171" s="12" t="s">
        <v>46</v>
      </c>
      <c r="N171" s="11" t="s">
        <v>41</v>
      </c>
      <c r="O171" s="24">
        <v>3570000</v>
      </c>
      <c r="P171" s="2">
        <v>10</v>
      </c>
      <c r="Q171" s="24">
        <v>357000</v>
      </c>
      <c r="R171" s="24">
        <v>180494.02927581</v>
      </c>
      <c r="S171" s="24">
        <v>0</v>
      </c>
      <c r="T171" s="24">
        <v>175132</v>
      </c>
      <c r="U171" s="24">
        <v>1373.9707241900032</v>
      </c>
      <c r="V171" s="18">
        <v>0</v>
      </c>
      <c r="W171" s="13">
        <v>159369</v>
      </c>
      <c r="X171" s="13">
        <v>0</v>
      </c>
      <c r="Y171" s="13">
        <f t="shared" ref="Y171:Y172" si="28">X171*91%</f>
        <v>0</v>
      </c>
      <c r="Z171" s="13"/>
      <c r="AA171" s="28"/>
      <c r="AB171" s="25"/>
    </row>
    <row r="172" spans="2:28">
      <c r="B172" s="11">
        <v>162</v>
      </c>
      <c r="C172" s="1" t="s">
        <v>451</v>
      </c>
      <c r="D172" s="1" t="s">
        <v>452</v>
      </c>
      <c r="E172" s="1" t="s">
        <v>453</v>
      </c>
      <c r="F172" s="27" t="s">
        <v>38</v>
      </c>
      <c r="G172" s="11">
        <v>2024</v>
      </c>
      <c r="H172" s="16">
        <v>45323</v>
      </c>
      <c r="I172" s="16">
        <v>45689</v>
      </c>
      <c r="J172" s="11">
        <v>2438</v>
      </c>
      <c r="K172" s="12" t="s">
        <v>454</v>
      </c>
      <c r="L172" s="16">
        <v>45605</v>
      </c>
      <c r="M172" s="12" t="s">
        <v>46</v>
      </c>
      <c r="N172" s="11" t="s">
        <v>41</v>
      </c>
      <c r="O172" s="24">
        <v>119188156</v>
      </c>
      <c r="P172" s="2">
        <v>7.5</v>
      </c>
      <c r="Q172" s="24">
        <v>8939111.6999999993</v>
      </c>
      <c r="R172" s="24">
        <v>6795388.0923587102</v>
      </c>
      <c r="S172" s="24">
        <v>0</v>
      </c>
      <c r="T172" s="24">
        <v>2129161</v>
      </c>
      <c r="U172" s="24">
        <v>14562.607641289011</v>
      </c>
      <c r="V172" s="18">
        <v>0</v>
      </c>
      <c r="W172" s="13">
        <v>1937537</v>
      </c>
      <c r="X172" s="13">
        <v>126060888.3</v>
      </c>
      <c r="Y172" s="13">
        <f t="shared" si="28"/>
        <v>114715408.353</v>
      </c>
      <c r="Z172" s="13"/>
      <c r="AA172" s="28"/>
      <c r="AB172" s="25"/>
    </row>
    <row r="173" spans="2:28">
      <c r="B173" s="11">
        <v>163</v>
      </c>
      <c r="C173" s="1" t="s">
        <v>455</v>
      </c>
      <c r="D173" s="1" t="s">
        <v>456</v>
      </c>
      <c r="E173" s="1" t="s">
        <v>457</v>
      </c>
      <c r="F173" s="27" t="s">
        <v>38</v>
      </c>
      <c r="G173" s="11">
        <v>2025</v>
      </c>
      <c r="H173" s="16">
        <v>45694</v>
      </c>
      <c r="I173" s="16">
        <v>47520</v>
      </c>
      <c r="J173" s="11">
        <v>2934</v>
      </c>
      <c r="K173" s="12" t="s">
        <v>82</v>
      </c>
      <c r="L173" s="16">
        <v>45894</v>
      </c>
      <c r="M173" s="12" t="s">
        <v>56</v>
      </c>
      <c r="N173" s="11" t="s">
        <v>41</v>
      </c>
      <c r="O173" s="24">
        <v>644449600</v>
      </c>
      <c r="P173" s="2">
        <v>100</v>
      </c>
      <c r="Q173" s="24">
        <v>644449600</v>
      </c>
      <c r="R173" s="24">
        <v>439836852</v>
      </c>
      <c r="S173" s="24">
        <v>188501508</v>
      </c>
      <c r="T173" s="24">
        <v>0</v>
      </c>
      <c r="U173" s="24">
        <v>16111240</v>
      </c>
      <c r="V173" s="18">
        <v>182846463</v>
      </c>
      <c r="W173" s="13">
        <v>0</v>
      </c>
      <c r="X173" s="13">
        <v>0</v>
      </c>
      <c r="Y173" s="13">
        <f t="shared" ref="Y173:Y180" si="29">X173*97%</f>
        <v>0</v>
      </c>
      <c r="Z173" s="13"/>
      <c r="AA173" s="28"/>
      <c r="AB173" s="25"/>
    </row>
    <row r="174" spans="2:28">
      <c r="B174" s="11">
        <v>164</v>
      </c>
      <c r="C174" s="1" t="s">
        <v>458</v>
      </c>
      <c r="D174" s="1" t="s">
        <v>459</v>
      </c>
      <c r="E174" s="1" t="s">
        <v>460</v>
      </c>
      <c r="F174" s="27" t="s">
        <v>38</v>
      </c>
      <c r="G174" s="11">
        <v>2025</v>
      </c>
      <c r="H174" s="16">
        <v>45804</v>
      </c>
      <c r="I174" s="16">
        <v>47295</v>
      </c>
      <c r="J174" s="11">
        <v>2934</v>
      </c>
      <c r="K174" s="12" t="s">
        <v>461</v>
      </c>
      <c r="L174" s="16">
        <v>45866</v>
      </c>
      <c r="M174" s="12" t="s">
        <v>56</v>
      </c>
      <c r="N174" s="11" t="s">
        <v>41</v>
      </c>
      <c r="O174" s="24">
        <v>168750000</v>
      </c>
      <c r="P174" s="2">
        <v>100</v>
      </c>
      <c r="Q174" s="24">
        <v>168750000</v>
      </c>
      <c r="R174" s="24">
        <v>115171875</v>
      </c>
      <c r="S174" s="24">
        <v>49359376</v>
      </c>
      <c r="T174" s="24">
        <v>0</v>
      </c>
      <c r="U174" s="24">
        <v>4218749</v>
      </c>
      <c r="V174" s="18">
        <v>47878594</v>
      </c>
      <c r="W174" s="13">
        <v>0</v>
      </c>
      <c r="X174" s="13">
        <v>56250000</v>
      </c>
      <c r="Y174" s="13">
        <f t="shared" si="29"/>
        <v>54562500</v>
      </c>
      <c r="Z174" s="13"/>
      <c r="AA174" s="28"/>
      <c r="AB174" s="25"/>
    </row>
    <row r="175" spans="2:28">
      <c r="B175" s="11">
        <v>165</v>
      </c>
      <c r="C175" s="1" t="s">
        <v>462</v>
      </c>
      <c r="D175" s="1" t="s">
        <v>463</v>
      </c>
      <c r="E175" s="1" t="s">
        <v>464</v>
      </c>
      <c r="F175" s="27" t="s">
        <v>38</v>
      </c>
      <c r="G175" s="11">
        <v>2025</v>
      </c>
      <c r="H175" s="16">
        <v>45777</v>
      </c>
      <c r="I175" s="16">
        <v>46142</v>
      </c>
      <c r="J175" s="11">
        <v>2951</v>
      </c>
      <c r="K175" s="12" t="s">
        <v>465</v>
      </c>
      <c r="L175" s="16">
        <v>45790</v>
      </c>
      <c r="M175" s="12" t="s">
        <v>56</v>
      </c>
      <c r="N175" s="11" t="s">
        <v>41</v>
      </c>
      <c r="O175" s="26">
        <v>38946891</v>
      </c>
      <c r="P175" s="2">
        <v>100</v>
      </c>
      <c r="Q175" s="24">
        <v>38946891</v>
      </c>
      <c r="R175" s="26">
        <v>16445171.6011547</v>
      </c>
      <c r="S175" s="26">
        <v>7047930.9999999898</v>
      </c>
      <c r="T175" s="26">
        <v>0</v>
      </c>
      <c r="U175" s="24">
        <v>15453788.398845311</v>
      </c>
      <c r="V175" s="18">
        <v>6836492.9999999898</v>
      </c>
      <c r="W175" s="18">
        <v>0</v>
      </c>
      <c r="X175" s="13">
        <v>0</v>
      </c>
      <c r="Y175" s="13">
        <f t="shared" si="29"/>
        <v>0</v>
      </c>
      <c r="Z175" s="13"/>
      <c r="AA175" s="28"/>
      <c r="AB175" s="25"/>
    </row>
    <row r="176" spans="2:28">
      <c r="B176" s="11">
        <v>166</v>
      </c>
      <c r="C176" s="1" t="s">
        <v>462</v>
      </c>
      <c r="D176" s="1" t="s">
        <v>463</v>
      </c>
      <c r="E176" s="1" t="s">
        <v>464</v>
      </c>
      <c r="F176" s="27" t="s">
        <v>38</v>
      </c>
      <c r="G176" s="11">
        <v>2025</v>
      </c>
      <c r="H176" s="16">
        <v>45777</v>
      </c>
      <c r="I176" s="16">
        <v>46142</v>
      </c>
      <c r="J176" s="11">
        <v>2951</v>
      </c>
      <c r="K176" s="12" t="s">
        <v>465</v>
      </c>
      <c r="L176" s="16">
        <v>45790</v>
      </c>
      <c r="M176" s="12" t="s">
        <v>56</v>
      </c>
      <c r="N176" s="11" t="s">
        <v>41</v>
      </c>
      <c r="O176" s="24">
        <v>38946891</v>
      </c>
      <c r="P176" s="2">
        <v>100</v>
      </c>
      <c r="Q176" s="24">
        <v>38946891</v>
      </c>
      <c r="R176" s="24">
        <v>16445171.6011547</v>
      </c>
      <c r="S176" s="24">
        <v>0</v>
      </c>
      <c r="T176" s="24">
        <v>15336323</v>
      </c>
      <c r="U176" s="24">
        <v>7165396.3988453001</v>
      </c>
      <c r="V176" s="18">
        <v>0</v>
      </c>
      <c r="W176" s="13">
        <v>14876233</v>
      </c>
      <c r="X176" s="13">
        <v>0</v>
      </c>
      <c r="Y176" s="13">
        <f t="shared" si="29"/>
        <v>0</v>
      </c>
      <c r="Z176" s="13"/>
      <c r="AA176" s="28"/>
      <c r="AB176" s="25"/>
    </row>
    <row r="177" spans="2:28">
      <c r="B177" s="11">
        <v>167</v>
      </c>
      <c r="C177" s="1" t="s">
        <v>466</v>
      </c>
      <c r="D177" s="1" t="s">
        <v>467</v>
      </c>
      <c r="E177" s="1" t="s">
        <v>468</v>
      </c>
      <c r="F177" s="27" t="s">
        <v>38</v>
      </c>
      <c r="G177" s="11">
        <v>2025</v>
      </c>
      <c r="H177" s="16">
        <v>45015</v>
      </c>
      <c r="I177" s="16">
        <v>46476</v>
      </c>
      <c r="J177" s="11">
        <v>261</v>
      </c>
      <c r="K177" s="12" t="s">
        <v>94</v>
      </c>
      <c r="L177" s="16">
        <v>45891</v>
      </c>
      <c r="M177" s="12" t="s">
        <v>56</v>
      </c>
      <c r="N177" s="11" t="s">
        <v>41</v>
      </c>
      <c r="O177" s="24">
        <v>19446500</v>
      </c>
      <c r="P177" s="2">
        <v>100</v>
      </c>
      <c r="Q177" s="24">
        <v>19446500</v>
      </c>
      <c r="R177" s="24">
        <v>13272236.25</v>
      </c>
      <c r="S177" s="24">
        <v>5688101</v>
      </c>
      <c r="T177" s="24">
        <v>0</v>
      </c>
      <c r="U177" s="24">
        <v>486162.75</v>
      </c>
      <c r="V177" s="18">
        <v>5517458</v>
      </c>
      <c r="W177" s="13">
        <v>0</v>
      </c>
      <c r="X177" s="13">
        <v>0</v>
      </c>
      <c r="Y177" s="13">
        <f t="shared" si="29"/>
        <v>0</v>
      </c>
      <c r="Z177" s="13"/>
      <c r="AA177" s="28"/>
      <c r="AB177" s="25"/>
    </row>
    <row r="178" spans="2:28">
      <c r="B178" s="11">
        <v>168</v>
      </c>
      <c r="C178" s="1" t="s">
        <v>469</v>
      </c>
      <c r="D178" s="1" t="s">
        <v>470</v>
      </c>
      <c r="E178" s="1" t="s">
        <v>471</v>
      </c>
      <c r="F178" s="27" t="s">
        <v>38</v>
      </c>
      <c r="G178" s="11">
        <v>2025</v>
      </c>
      <c r="H178" s="16">
        <v>45168</v>
      </c>
      <c r="I178" s="16">
        <v>46995</v>
      </c>
      <c r="J178" s="11">
        <v>2593</v>
      </c>
      <c r="K178" s="12" t="s">
        <v>472</v>
      </c>
      <c r="L178" s="16">
        <v>45964</v>
      </c>
      <c r="M178" s="12" t="s">
        <v>56</v>
      </c>
      <c r="N178" s="11" t="s">
        <v>41</v>
      </c>
      <c r="O178" s="24">
        <v>23608687</v>
      </c>
      <c r="P178" s="2">
        <v>100</v>
      </c>
      <c r="Q178" s="24">
        <v>23608687</v>
      </c>
      <c r="R178" s="24">
        <v>16112928.877499999</v>
      </c>
      <c r="S178" s="24">
        <v>6905541</v>
      </c>
      <c r="T178" s="24">
        <v>0</v>
      </c>
      <c r="U178" s="24">
        <v>590217.12250000052</v>
      </c>
      <c r="V178" s="18">
        <v>6698375</v>
      </c>
      <c r="W178" s="13">
        <v>0</v>
      </c>
      <c r="X178" s="13">
        <v>66500000</v>
      </c>
      <c r="Y178" s="13">
        <f t="shared" si="29"/>
        <v>64505000</v>
      </c>
      <c r="Z178" s="13"/>
      <c r="AA178" s="28"/>
      <c r="AB178" s="25"/>
    </row>
    <row r="179" spans="2:28">
      <c r="B179" s="11">
        <v>169</v>
      </c>
      <c r="C179" s="1" t="s">
        <v>473</v>
      </c>
      <c r="D179" s="1" t="s">
        <v>474</v>
      </c>
      <c r="E179" s="1" t="s">
        <v>475</v>
      </c>
      <c r="F179" s="27" t="s">
        <v>38</v>
      </c>
      <c r="G179" s="11">
        <v>2025</v>
      </c>
      <c r="H179" s="16">
        <v>44404</v>
      </c>
      <c r="I179" s="16">
        <v>46230</v>
      </c>
      <c r="J179" s="11">
        <v>2934</v>
      </c>
      <c r="K179" s="12" t="s">
        <v>82</v>
      </c>
      <c r="L179" s="16">
        <v>45892</v>
      </c>
      <c r="M179" s="12" t="s">
        <v>56</v>
      </c>
      <c r="N179" s="11" t="s">
        <v>41</v>
      </c>
      <c r="O179" s="24">
        <v>118644313</v>
      </c>
      <c r="P179" s="2">
        <v>100</v>
      </c>
      <c r="Q179" s="24">
        <v>118644313</v>
      </c>
      <c r="R179" s="24">
        <v>80974743.622500002</v>
      </c>
      <c r="S179" s="24">
        <v>34703462</v>
      </c>
      <c r="T179" s="24">
        <v>0</v>
      </c>
      <c r="U179" s="24">
        <v>2966107.3774999976</v>
      </c>
      <c r="V179" s="18">
        <v>33662358</v>
      </c>
      <c r="W179" s="13">
        <v>0</v>
      </c>
      <c r="X179" s="13">
        <v>0</v>
      </c>
      <c r="Y179" s="13">
        <f t="shared" si="29"/>
        <v>0</v>
      </c>
      <c r="Z179" s="13"/>
      <c r="AA179" s="28"/>
      <c r="AB179" s="25"/>
    </row>
    <row r="180" spans="2:28">
      <c r="B180" s="11">
        <v>170</v>
      </c>
      <c r="C180" s="1" t="s">
        <v>476</v>
      </c>
      <c r="D180" s="1" t="s">
        <v>477</v>
      </c>
      <c r="E180" s="1" t="s">
        <v>478</v>
      </c>
      <c r="F180" s="27" t="s">
        <v>38</v>
      </c>
      <c r="G180" s="11">
        <v>2025</v>
      </c>
      <c r="H180" s="16">
        <v>45888</v>
      </c>
      <c r="I180" s="16">
        <v>46983</v>
      </c>
      <c r="J180" s="11">
        <v>2934</v>
      </c>
      <c r="K180" s="12" t="s">
        <v>461</v>
      </c>
      <c r="L180" s="16">
        <v>45929</v>
      </c>
      <c r="M180" s="12" t="s">
        <v>56</v>
      </c>
      <c r="N180" s="11" t="s">
        <v>41</v>
      </c>
      <c r="O180" s="24">
        <v>5177500</v>
      </c>
      <c r="P180" s="2">
        <v>100</v>
      </c>
      <c r="Q180" s="24">
        <v>5177500</v>
      </c>
      <c r="R180" s="24">
        <v>3533643.75</v>
      </c>
      <c r="S180" s="24">
        <v>1514418</v>
      </c>
      <c r="T180" s="24">
        <v>0</v>
      </c>
      <c r="U180" s="24">
        <v>129438.25</v>
      </c>
      <c r="V180" s="18">
        <v>1468986</v>
      </c>
      <c r="W180" s="13">
        <v>0</v>
      </c>
      <c r="X180" s="13">
        <v>0</v>
      </c>
      <c r="Y180" s="13">
        <f t="shared" si="29"/>
        <v>0</v>
      </c>
      <c r="Z180" s="13"/>
      <c r="AA180" s="28"/>
      <c r="AB180" s="25"/>
    </row>
    <row r="181" spans="2:28">
      <c r="F181"/>
      <c r="O181" s="20"/>
      <c r="Q181" s="21"/>
      <c r="R181" s="21"/>
      <c r="S181" s="21"/>
      <c r="T181" s="21"/>
      <c r="U181" s="22"/>
      <c r="V181" s="22"/>
      <c r="W181" s="23"/>
    </row>
    <row r="182" spans="2:28">
      <c r="F182"/>
      <c r="O182" s="20"/>
      <c r="Q182" s="21"/>
      <c r="R182" s="21"/>
      <c r="S182" s="21"/>
      <c r="T182" s="21"/>
      <c r="V182" s="17">
        <f>SUBTOTAL(9,V11:V180)</f>
        <v>831701580.77999997</v>
      </c>
      <c r="W182" s="17">
        <f>SUBTOTAL(9,W11:W180)</f>
        <v>2588418118.1400003</v>
      </c>
    </row>
    <row r="183" spans="2:28">
      <c r="F183"/>
      <c r="O183" s="20"/>
      <c r="Q183" s="21"/>
      <c r="R183" s="21"/>
      <c r="S183" s="21"/>
      <c r="T183" s="21"/>
    </row>
    <row r="184" spans="2:28">
      <c r="F184"/>
    </row>
    <row r="185" spans="2:28">
      <c r="F185"/>
      <c r="G185"/>
      <c r="N185"/>
    </row>
    <row r="186" spans="2:28">
      <c r="F186"/>
      <c r="G186"/>
      <c r="N186"/>
    </row>
    <row r="187" spans="2:28">
      <c r="F187"/>
      <c r="G187"/>
      <c r="N187"/>
    </row>
    <row r="188" spans="2:28">
      <c r="F188"/>
      <c r="G188"/>
      <c r="N188"/>
    </row>
    <row r="189" spans="2:28">
      <c r="F189"/>
      <c r="G189"/>
      <c r="N189"/>
    </row>
    <row r="190" spans="2:28">
      <c r="F190"/>
      <c r="G190"/>
      <c r="N190"/>
    </row>
    <row r="191" spans="2:28">
      <c r="F191"/>
      <c r="G191"/>
    </row>
    <row r="192" spans="2:28">
      <c r="F192"/>
      <c r="G192"/>
    </row>
    <row r="193" spans="6:14">
      <c r="F193"/>
      <c r="G193"/>
    </row>
    <row r="194" spans="6:14">
      <c r="F194"/>
      <c r="G194"/>
    </row>
    <row r="195" spans="6:14">
      <c r="F195"/>
      <c r="G195"/>
      <c r="L195"/>
      <c r="N195"/>
    </row>
    <row r="196" spans="6:14">
      <c r="F196"/>
      <c r="G196"/>
      <c r="L196"/>
      <c r="N196"/>
    </row>
    <row r="197" spans="6:14">
      <c r="F197"/>
      <c r="G197"/>
      <c r="L197"/>
      <c r="N197"/>
    </row>
    <row r="198" spans="6:14">
      <c r="F198"/>
      <c r="G198"/>
      <c r="L198"/>
      <c r="N198"/>
    </row>
    <row r="199" spans="6:14">
      <c r="F199"/>
      <c r="G199"/>
      <c r="L199"/>
      <c r="N199"/>
    </row>
    <row r="200" spans="6:14">
      <c r="F200"/>
      <c r="G200"/>
      <c r="L200"/>
      <c r="N200"/>
    </row>
    <row r="201" spans="6:14">
      <c r="F201"/>
      <c r="G201"/>
      <c r="L201"/>
      <c r="N201"/>
    </row>
    <row r="202" spans="6:14">
      <c r="F202"/>
      <c r="G202"/>
    </row>
    <row r="203" spans="6:14">
      <c r="F203"/>
      <c r="G203"/>
    </row>
    <row r="204" spans="6:14">
      <c r="F204"/>
      <c r="G204"/>
    </row>
    <row r="205" spans="6:14">
      <c r="F205"/>
      <c r="G205"/>
    </row>
    <row r="206" spans="6:14">
      <c r="F206"/>
      <c r="G206"/>
    </row>
    <row r="207" spans="6:14">
      <c r="F207"/>
      <c r="G207"/>
    </row>
    <row r="208" spans="6:14">
      <c r="F208"/>
      <c r="G208"/>
    </row>
    <row r="209" spans="6:7">
      <c r="F209"/>
      <c r="G209"/>
    </row>
    <row r="210" spans="6:7">
      <c r="F210"/>
      <c r="G210"/>
    </row>
    <row r="211" spans="6:7">
      <c r="F211"/>
      <c r="G211"/>
    </row>
    <row r="212" spans="6:7">
      <c r="F212"/>
      <c r="G212"/>
    </row>
    <row r="213" spans="6:7">
      <c r="F213"/>
      <c r="G213"/>
    </row>
    <row r="214" spans="6:7">
      <c r="F214"/>
      <c r="G214"/>
    </row>
    <row r="215" spans="6:7">
      <c r="F215"/>
      <c r="G215"/>
    </row>
    <row r="216" spans="6:7">
      <c r="F216"/>
      <c r="G216"/>
    </row>
    <row r="217" spans="6:7">
      <c r="F217"/>
      <c r="G217"/>
    </row>
    <row r="218" spans="6:7">
      <c r="F218"/>
      <c r="G218"/>
    </row>
    <row r="219" spans="6:7">
      <c r="F219"/>
      <c r="G219"/>
    </row>
    <row r="220" spans="6:7">
      <c r="F220"/>
      <c r="G220"/>
    </row>
    <row r="221" spans="6:7">
      <c r="F221"/>
      <c r="G221"/>
    </row>
    <row r="222" spans="6:7">
      <c r="F222"/>
      <c r="G222"/>
    </row>
    <row r="223" spans="6:7">
      <c r="F223"/>
      <c r="G223"/>
    </row>
    <row r="224" spans="6:7">
      <c r="F224"/>
      <c r="G224"/>
    </row>
    <row r="225" spans="6:7">
      <c r="F225"/>
      <c r="G225"/>
    </row>
    <row r="226" spans="6:7">
      <c r="F226"/>
      <c r="G226"/>
    </row>
    <row r="227" spans="6:7">
      <c r="F227"/>
      <c r="G227"/>
    </row>
    <row r="228" spans="6:7">
      <c r="F228"/>
      <c r="G228"/>
    </row>
    <row r="229" spans="6:7">
      <c r="F229"/>
      <c r="G229"/>
    </row>
    <row r="230" spans="6:7">
      <c r="F230"/>
      <c r="G230"/>
    </row>
    <row r="231" spans="6:7">
      <c r="F231"/>
      <c r="G231"/>
    </row>
    <row r="232" spans="6:7">
      <c r="F232"/>
      <c r="G232"/>
    </row>
    <row r="233" spans="6:7">
      <c r="F233"/>
      <c r="G233"/>
    </row>
    <row r="234" spans="6:7">
      <c r="F234"/>
      <c r="G234"/>
    </row>
    <row r="235" spans="6:7">
      <c r="F235"/>
      <c r="G235"/>
    </row>
    <row r="236" spans="6:7">
      <c r="F236"/>
      <c r="G236"/>
    </row>
    <row r="237" spans="6:7">
      <c r="F237"/>
      <c r="G237"/>
    </row>
    <row r="238" spans="6:7">
      <c r="F238"/>
      <c r="G238"/>
    </row>
    <row r="239" spans="6:7">
      <c r="F239"/>
      <c r="G239"/>
    </row>
    <row r="240" spans="6:7">
      <c r="F240"/>
      <c r="G240"/>
    </row>
    <row r="241" spans="6:7">
      <c r="F241"/>
      <c r="G241"/>
    </row>
    <row r="242" spans="6:7">
      <c r="F242"/>
      <c r="G242"/>
    </row>
    <row r="243" spans="6:7">
      <c r="F243"/>
      <c r="G243"/>
    </row>
    <row r="244" spans="6:7">
      <c r="F244"/>
      <c r="G244"/>
    </row>
    <row r="245" spans="6:7">
      <c r="F245"/>
      <c r="G245"/>
    </row>
    <row r="246" spans="6:7">
      <c r="F246"/>
      <c r="G246"/>
    </row>
    <row r="247" spans="6:7">
      <c r="F247"/>
      <c r="G247"/>
    </row>
    <row r="248" spans="6:7">
      <c r="F248"/>
      <c r="G248"/>
    </row>
    <row r="249" spans="6:7">
      <c r="F249"/>
      <c r="G249"/>
    </row>
    <row r="250" spans="6:7">
      <c r="F250"/>
      <c r="G250"/>
    </row>
    <row r="251" spans="6:7">
      <c r="F251"/>
      <c r="G251"/>
    </row>
    <row r="252" spans="6:7">
      <c r="F252"/>
      <c r="G252"/>
    </row>
    <row r="253" spans="6:7">
      <c r="F253"/>
      <c r="G253"/>
    </row>
    <row r="254" spans="6:7">
      <c r="F254"/>
      <c r="G254"/>
    </row>
    <row r="255" spans="6:7">
      <c r="F255"/>
      <c r="G255"/>
    </row>
    <row r="256" spans="6:7">
      <c r="F256"/>
      <c r="G256"/>
    </row>
    <row r="257" spans="6:7">
      <c r="F257"/>
      <c r="G257"/>
    </row>
    <row r="258" spans="6:7">
      <c r="F258"/>
      <c r="G258"/>
    </row>
    <row r="259" spans="6:7">
      <c r="F259"/>
      <c r="G259"/>
    </row>
    <row r="260" spans="6:7">
      <c r="F260"/>
      <c r="G260"/>
    </row>
    <row r="261" spans="6:7">
      <c r="F261"/>
      <c r="G261"/>
    </row>
    <row r="262" spans="6:7">
      <c r="F262"/>
      <c r="G262"/>
    </row>
    <row r="263" spans="6:7">
      <c r="F263"/>
      <c r="G263"/>
    </row>
    <row r="264" spans="6:7">
      <c r="F264"/>
      <c r="G264"/>
    </row>
    <row r="265" spans="6:7">
      <c r="F265"/>
      <c r="G265"/>
    </row>
    <row r="266" spans="6:7">
      <c r="F266"/>
      <c r="G266"/>
    </row>
    <row r="267" spans="6:7">
      <c r="F267"/>
      <c r="G267"/>
    </row>
    <row r="268" spans="6:7">
      <c r="F268"/>
      <c r="G268"/>
    </row>
    <row r="269" spans="6:7">
      <c r="F269"/>
      <c r="G269"/>
    </row>
    <row r="270" spans="6:7">
      <c r="F270"/>
      <c r="G270"/>
    </row>
    <row r="271" spans="6:7">
      <c r="F271"/>
      <c r="G271"/>
    </row>
    <row r="272" spans="6:7">
      <c r="F272"/>
      <c r="G272"/>
    </row>
    <row r="273" spans="6:7">
      <c r="F273"/>
      <c r="G273"/>
    </row>
    <row r="274" spans="6:7">
      <c r="F274"/>
      <c r="G274"/>
    </row>
    <row r="275" spans="6:7">
      <c r="F275"/>
      <c r="G275"/>
    </row>
    <row r="276" spans="6:7">
      <c r="F276"/>
      <c r="G276"/>
    </row>
    <row r="277" spans="6:7">
      <c r="F277"/>
      <c r="G277"/>
    </row>
    <row r="278" spans="6:7">
      <c r="F278"/>
      <c r="G278"/>
    </row>
    <row r="279" spans="6:7">
      <c r="F279"/>
      <c r="G279"/>
    </row>
    <row r="280" spans="6:7">
      <c r="F280"/>
      <c r="G280"/>
    </row>
    <row r="281" spans="6:7">
      <c r="F281"/>
      <c r="G281"/>
    </row>
    <row r="282" spans="6:7">
      <c r="F282"/>
      <c r="G282"/>
    </row>
    <row r="283" spans="6:7">
      <c r="F283"/>
      <c r="G283"/>
    </row>
    <row r="284" spans="6:7">
      <c r="F284"/>
      <c r="G284"/>
    </row>
    <row r="285" spans="6:7">
      <c r="F285"/>
      <c r="G285"/>
    </row>
    <row r="286" spans="6:7">
      <c r="F286"/>
      <c r="G286"/>
    </row>
    <row r="287" spans="6:7">
      <c r="F287"/>
      <c r="G287"/>
    </row>
    <row r="288" spans="6:7">
      <c r="F288"/>
      <c r="G288"/>
    </row>
    <row r="289" spans="6:7">
      <c r="F289"/>
      <c r="G289"/>
    </row>
    <row r="290" spans="6:7">
      <c r="F290"/>
      <c r="G290"/>
    </row>
    <row r="291" spans="6:7">
      <c r="F291"/>
      <c r="G291"/>
    </row>
    <row r="292" spans="6:7">
      <c r="F292"/>
      <c r="G292"/>
    </row>
    <row r="293" spans="6:7">
      <c r="F293"/>
      <c r="G293"/>
    </row>
    <row r="294" spans="6:7">
      <c r="F294"/>
      <c r="G294"/>
    </row>
    <row r="295" spans="6:7">
      <c r="F295"/>
      <c r="G295"/>
    </row>
    <row r="296" spans="6:7">
      <c r="F296"/>
      <c r="G296"/>
    </row>
    <row r="297" spans="6:7">
      <c r="F297"/>
      <c r="G297"/>
    </row>
    <row r="298" spans="6:7">
      <c r="F298"/>
      <c r="G298"/>
    </row>
    <row r="299" spans="6:7">
      <c r="F299"/>
      <c r="G299"/>
    </row>
    <row r="300" spans="6:7">
      <c r="F300"/>
      <c r="G300"/>
    </row>
    <row r="301" spans="6:7">
      <c r="F301"/>
      <c r="G301"/>
    </row>
    <row r="302" spans="6:7">
      <c r="F302"/>
      <c r="G302"/>
    </row>
    <row r="303" spans="6:7">
      <c r="F303"/>
      <c r="G303"/>
    </row>
    <row r="304" spans="6:7">
      <c r="F304"/>
      <c r="G304"/>
    </row>
    <row r="305" spans="6:7">
      <c r="F305"/>
      <c r="G305"/>
    </row>
    <row r="306" spans="6:7">
      <c r="F306"/>
      <c r="G306"/>
    </row>
    <row r="307" spans="6:7">
      <c r="F307"/>
      <c r="G307"/>
    </row>
    <row r="308" spans="6:7">
      <c r="F308"/>
      <c r="G308"/>
    </row>
    <row r="309" spans="6:7">
      <c r="F309"/>
      <c r="G309"/>
    </row>
    <row r="310" spans="6:7">
      <c r="F310"/>
      <c r="G310"/>
    </row>
    <row r="311" spans="6:7">
      <c r="F311"/>
      <c r="G311"/>
    </row>
    <row r="312" spans="6:7">
      <c r="F312"/>
      <c r="G312"/>
    </row>
    <row r="313" spans="6:7">
      <c r="F313"/>
      <c r="G313"/>
    </row>
    <row r="314" spans="6:7">
      <c r="F314"/>
      <c r="G314"/>
    </row>
    <row r="315" spans="6:7">
      <c r="F315"/>
      <c r="G315"/>
    </row>
    <row r="316" spans="6:7">
      <c r="F316"/>
      <c r="G316"/>
    </row>
    <row r="317" spans="6:7">
      <c r="F317"/>
      <c r="G317"/>
    </row>
    <row r="318" spans="6:7">
      <c r="F318"/>
      <c r="G318"/>
    </row>
    <row r="319" spans="6:7">
      <c r="F319"/>
      <c r="G319"/>
    </row>
    <row r="320" spans="6:7">
      <c r="F320"/>
      <c r="G320"/>
    </row>
    <row r="321" spans="6:7">
      <c r="F321"/>
      <c r="G321"/>
    </row>
    <row r="322" spans="6:7">
      <c r="F322"/>
      <c r="G322"/>
    </row>
    <row r="323" spans="6:7">
      <c r="F323"/>
      <c r="G323"/>
    </row>
    <row r="324" spans="6:7">
      <c r="F324"/>
      <c r="G324"/>
    </row>
    <row r="325" spans="6:7">
      <c r="F325"/>
      <c r="G325"/>
    </row>
    <row r="326" spans="6:7">
      <c r="F326"/>
      <c r="G326"/>
    </row>
    <row r="327" spans="6:7">
      <c r="F327"/>
      <c r="G327"/>
    </row>
    <row r="328" spans="6:7">
      <c r="F328"/>
      <c r="G328"/>
    </row>
    <row r="329" spans="6:7">
      <c r="F329"/>
      <c r="G329"/>
    </row>
    <row r="330" spans="6:7">
      <c r="F330"/>
      <c r="G330"/>
    </row>
    <row r="331" spans="6:7">
      <c r="F331"/>
      <c r="G331"/>
    </row>
    <row r="332" spans="6:7">
      <c r="F332"/>
      <c r="G332"/>
    </row>
    <row r="333" spans="6:7">
      <c r="F333"/>
      <c r="G333"/>
    </row>
    <row r="334" spans="6:7">
      <c r="F334"/>
      <c r="G334"/>
    </row>
    <row r="335" spans="6:7">
      <c r="F335"/>
      <c r="G335"/>
    </row>
    <row r="336" spans="6:7">
      <c r="F336"/>
      <c r="G336"/>
    </row>
    <row r="337" spans="6:7">
      <c r="F337"/>
      <c r="G337"/>
    </row>
    <row r="338" spans="6:7">
      <c r="F338"/>
      <c r="G338"/>
    </row>
    <row r="339" spans="6:7">
      <c r="F339"/>
      <c r="G339"/>
    </row>
    <row r="340" spans="6:7">
      <c r="F340"/>
      <c r="G340"/>
    </row>
    <row r="341" spans="6:7">
      <c r="F341"/>
      <c r="G341"/>
    </row>
    <row r="342" spans="6:7">
      <c r="F342"/>
      <c r="G342"/>
    </row>
    <row r="343" spans="6:7">
      <c r="F343"/>
      <c r="G343"/>
    </row>
    <row r="344" spans="6:7">
      <c r="F344"/>
      <c r="G344"/>
    </row>
    <row r="345" spans="6:7">
      <c r="F345"/>
      <c r="G345"/>
    </row>
    <row r="346" spans="6:7">
      <c r="F346"/>
      <c r="G346"/>
    </row>
    <row r="347" spans="6:7">
      <c r="F347"/>
      <c r="G347"/>
    </row>
    <row r="348" spans="6:7">
      <c r="F348"/>
      <c r="G348"/>
    </row>
    <row r="349" spans="6:7">
      <c r="F349"/>
      <c r="G349"/>
    </row>
    <row r="350" spans="6:7">
      <c r="F350"/>
      <c r="G350"/>
    </row>
    <row r="351" spans="6:7">
      <c r="F351"/>
      <c r="G351"/>
    </row>
    <row r="352" spans="6:7">
      <c r="F352"/>
      <c r="G352"/>
    </row>
    <row r="353" spans="6:7">
      <c r="F353"/>
      <c r="G353"/>
    </row>
    <row r="354" spans="6:7">
      <c r="F354"/>
      <c r="G354"/>
    </row>
    <row r="355" spans="6:7">
      <c r="F355"/>
      <c r="G355"/>
    </row>
    <row r="356" spans="6:7">
      <c r="F356"/>
      <c r="G356"/>
    </row>
    <row r="357" spans="6:7">
      <c r="F357"/>
      <c r="G357"/>
    </row>
    <row r="358" spans="6:7">
      <c r="F358"/>
      <c r="G358"/>
    </row>
    <row r="359" spans="6:7">
      <c r="F359"/>
      <c r="G359"/>
    </row>
    <row r="360" spans="6:7">
      <c r="F360"/>
      <c r="G360"/>
    </row>
    <row r="361" spans="6:7">
      <c r="F361"/>
      <c r="G361"/>
    </row>
    <row r="362" spans="6:7">
      <c r="F362"/>
      <c r="G362"/>
    </row>
    <row r="363" spans="6:7">
      <c r="F363"/>
      <c r="G363"/>
    </row>
    <row r="364" spans="6:7">
      <c r="F364"/>
      <c r="G364"/>
    </row>
    <row r="365" spans="6:7">
      <c r="F365"/>
      <c r="G365"/>
    </row>
    <row r="366" spans="6:7">
      <c r="F366"/>
      <c r="G366"/>
    </row>
    <row r="367" spans="6:7">
      <c r="F367"/>
      <c r="G367"/>
    </row>
    <row r="368" spans="6:7">
      <c r="F368"/>
      <c r="G368"/>
    </row>
    <row r="369" spans="6:7">
      <c r="F369"/>
      <c r="G369"/>
    </row>
    <row r="370" spans="6:7">
      <c r="F370"/>
      <c r="G370"/>
    </row>
    <row r="371" spans="6:7">
      <c r="F371"/>
      <c r="G371"/>
    </row>
    <row r="372" spans="6:7">
      <c r="F372"/>
      <c r="G372"/>
    </row>
    <row r="373" spans="6:7">
      <c r="F373"/>
      <c r="G373"/>
    </row>
  </sheetData>
  <autoFilter ref="B10:Z180" xr:uid="{00000000-0001-0000-0100-000000000000}"/>
  <mergeCells count="20">
    <mergeCell ref="Z9:Z10"/>
    <mergeCell ref="H9:I9"/>
    <mergeCell ref="N9:N10"/>
    <mergeCell ref="O9:O10"/>
    <mergeCell ref="P9:Q9"/>
    <mergeCell ref="L9:L10"/>
    <mergeCell ref="J9:J10"/>
    <mergeCell ref="K9:K10"/>
    <mergeCell ref="V9:V10"/>
    <mergeCell ref="G9:G10"/>
    <mergeCell ref="W9:W10"/>
    <mergeCell ref="X9:X10"/>
    <mergeCell ref="Y9:Y10"/>
    <mergeCell ref="B9:B10"/>
    <mergeCell ref="C9:C10"/>
    <mergeCell ref="D9:D10"/>
    <mergeCell ref="E9:E10"/>
    <mergeCell ref="F9:F10"/>
    <mergeCell ref="M9:M10"/>
    <mergeCell ref="R9:U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3D786B0614B1F4F9F8564EF69544848" ma:contentTypeVersion="8" ma:contentTypeDescription="Create a new document." ma:contentTypeScope="" ma:versionID="ad4b82c58223210935887040d70558e9">
  <xsd:schema xmlns:xsd="http://www.w3.org/2001/XMLSchema" xmlns:xs="http://www.w3.org/2001/XMLSchema" xmlns:p="http://schemas.microsoft.com/office/2006/metadata/properties" xmlns:ns2="f29f88f8-452b-43ad-84c8-7572ff3b30cb" xmlns:ns3="876338cf-5b40-43a1-a3e7-9653ba32d523" targetNamespace="http://schemas.microsoft.com/office/2006/metadata/properties" ma:root="true" ma:fieldsID="8cdbab431475483a6e22c3e3bea3f67c" ns2:_="" ns3:_="">
    <xsd:import namespace="f29f88f8-452b-43ad-84c8-7572ff3b30cb"/>
    <xsd:import namespace="876338cf-5b40-43a1-a3e7-9653ba32d52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9f88f8-452b-43ad-84c8-7572ff3b30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17c8f3e-8e5c-42b6-ba9d-78fb99a7828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6338cf-5b40-43a1-a3e7-9653ba32d52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e4d866a-282e-4cae-8002-c70ced30b52c}" ma:internalName="TaxCatchAll" ma:showField="CatchAllData" ma:web="876338cf-5b40-43a1-a3e7-9653ba32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1E8AAA-E4F9-45FB-A0F0-75A1D1AFF45E}"/>
</file>

<file path=customXml/itemProps2.xml><?xml version="1.0" encoding="utf-8"?>
<ds:datastoreItem xmlns:ds="http://schemas.openxmlformats.org/officeDocument/2006/customXml" ds:itemID="{38FC766F-3639-4015-AB06-5290BFA1C0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Aryudho Mahardi Setianto</dc:creator>
  <cp:keywords/>
  <dc:description/>
  <cp:lastModifiedBy>Dhika Firmansyah</cp:lastModifiedBy>
  <cp:revision/>
  <dcterms:created xsi:type="dcterms:W3CDTF">2023-01-25T07:40:16Z</dcterms:created>
  <dcterms:modified xsi:type="dcterms:W3CDTF">2026-08-13T03:09:58Z</dcterms:modified>
  <cp:category/>
  <cp:contentStatus/>
</cp:coreProperties>
</file>