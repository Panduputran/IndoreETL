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31"/>
  <workbookPr/>
  <mc:AlternateContent xmlns:mc="http://schemas.openxmlformats.org/markup-compatibility/2006">
    <mc:Choice Requires="x15">
      <x15ac:absPath xmlns:x15ac="http://schemas.microsoft.com/office/spreadsheetml/2010/11/ac" url="D:\WAKHIDAH\SOA\SOA Q2\BORDERO\MARSH REINSURANCE BROKER INDONESIA\"/>
    </mc:Choice>
  </mc:AlternateContent>
  <xr:revisionPtr revIDLastSave="25" documentId="13_ncr:1_{3F5DA2FD-80DB-4AC8-BC72-81F9A5D153F4}" xr6:coauthVersionLast="47" xr6:coauthVersionMax="47" xr10:uidLastSave="{752025F5-A02B-4A4D-B30B-EA647B2B0AA4}"/>
  <bookViews>
    <workbookView xWindow="-108" yWindow="-108" windowWidth="23256" windowHeight="12456" tabRatio="838" xr2:uid="{00000000-000D-0000-FFFF-FFFF00000000}"/>
  </bookViews>
  <sheets>
    <sheet name="MARSH - FIRE" sheetId="3" r:id="rId1"/>
    <sheet name="MARSH - ENG" sheetId="4" r:id="rId2"/>
    <sheet name="MARSH - GA" sheetId="5" r:id="rId3"/>
    <sheet name="MARSH - CARGO" sheetId="7" r:id="rId4"/>
    <sheet name="MARSH - MONEY" sheetId="12" r:id="rId5"/>
    <sheet name="MAREIN - FIRE" sheetId="13" r:id="rId6"/>
    <sheet name="MAREIN - ENG" sheetId="14" r:id="rId7"/>
    <sheet name="MAREIN - GA" sheetId="15" r:id="rId8"/>
    <sheet name="MAREIN - CARGO" sheetId="16" r:id="rId9"/>
    <sheet name="MAREIN - MONEY" sheetId="17" r:id="rId10"/>
  </sheets>
  <definedNames>
    <definedName name="_xlnm._FilterDatabase" localSheetId="8" hidden="1">'MAREIN - CARGO'!$B$10:$Z$24</definedName>
    <definedName name="_xlnm._FilterDatabase" localSheetId="6" hidden="1">'MAREIN - ENG'!$B$10:$Z$98</definedName>
    <definedName name="_xlnm._FilterDatabase" localSheetId="5" hidden="1">'MAREIN - FIRE'!$B$10:$Y$94</definedName>
    <definedName name="_xlnm._FilterDatabase" localSheetId="7" hidden="1">'MAREIN - GA'!$B$10:$Y$12</definedName>
    <definedName name="_xlnm._FilterDatabase" localSheetId="9" hidden="1">'MAREIN - MONEY'!$B$10:$Z$18</definedName>
    <definedName name="_xlnm._FilterDatabase" localSheetId="3" hidden="1">'MARSH - CARGO'!$B$10:$Z$26</definedName>
    <definedName name="_xlnm._FilterDatabase" localSheetId="1" hidden="1">'MARSH - ENG'!$B$10:$Z$98</definedName>
    <definedName name="_xlnm._FilterDatabase" localSheetId="2" hidden="1">'MARSH - GA'!$B$10:$Y$12</definedName>
    <definedName name="_xlnm._FilterDatabase" localSheetId="4" hidden="1">'MARSH - MONEY'!$B$10:$Z$11</definedName>
    <definedName name="_xlnm._FilterDatabase" localSheetId="0" hidden="1">'MARSH - FIRE'!$B$9:$Z$96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8" i="17" l="1"/>
  <c r="Y17" i="17"/>
  <c r="Y16" i="17"/>
  <c r="Y15" i="17"/>
  <c r="Y13" i="17"/>
  <c r="Y12" i="17"/>
  <c r="Y24" i="16"/>
  <c r="Y23" i="16"/>
  <c r="Y22" i="16"/>
  <c r="Y21" i="16"/>
  <c r="Y19" i="16"/>
  <c r="Y18" i="16"/>
  <c r="Y17" i="16"/>
  <c r="Y16" i="16"/>
  <c r="Y15" i="16"/>
  <c r="Y14" i="16"/>
  <c r="Y13" i="16"/>
  <c r="Y12" i="16"/>
  <c r="Y98" i="14"/>
  <c r="Y97" i="14"/>
  <c r="Y96" i="14"/>
  <c r="Y95" i="14"/>
  <c r="Y94" i="14"/>
  <c r="Y93" i="14"/>
  <c r="Y92" i="14"/>
  <c r="Y91" i="14"/>
  <c r="Y90" i="14"/>
  <c r="Y89" i="14"/>
  <c r="Y88" i="14"/>
  <c r="Y87" i="14"/>
  <c r="Y86" i="14"/>
  <c r="Y85" i="14"/>
  <c r="Y84" i="14"/>
  <c r="Y83" i="14"/>
  <c r="Y82" i="14"/>
  <c r="Y81" i="14"/>
  <c r="Y80" i="14"/>
  <c r="Y79" i="14"/>
  <c r="Y78" i="14"/>
  <c r="Y77" i="14"/>
  <c r="Y76" i="14"/>
  <c r="Y75" i="14"/>
  <c r="Y74" i="14"/>
  <c r="Y73" i="14"/>
  <c r="Y72" i="14"/>
  <c r="Y71" i="14"/>
  <c r="Y70" i="14"/>
  <c r="Y69" i="14"/>
  <c r="Y68" i="14"/>
  <c r="Y67" i="14"/>
  <c r="Y66" i="14"/>
  <c r="Y65" i="14"/>
  <c r="Y64" i="14"/>
  <c r="Y63" i="14"/>
  <c r="Y62" i="14"/>
  <c r="Y61" i="14"/>
  <c r="Y60" i="14"/>
  <c r="Y59" i="14"/>
  <c r="Y58" i="14"/>
  <c r="Y57" i="14"/>
  <c r="Y56" i="14"/>
  <c r="Y54" i="14"/>
  <c r="Y53" i="14"/>
  <c r="Y52" i="14"/>
  <c r="Y51" i="14"/>
  <c r="Y50" i="14"/>
  <c r="Y49" i="14"/>
  <c r="Y48" i="14"/>
  <c r="Y47" i="14"/>
  <c r="Y46" i="14"/>
  <c r="Y45" i="14"/>
  <c r="Y44" i="14"/>
  <c r="Y43" i="14"/>
  <c r="Y42" i="14"/>
  <c r="Y41" i="14"/>
  <c r="Y40" i="14"/>
  <c r="Y39" i="14"/>
  <c r="Y38" i="14"/>
  <c r="Y37" i="14"/>
  <c r="Y36" i="14"/>
  <c r="Y35" i="14"/>
  <c r="Y34" i="14"/>
  <c r="Y33" i="14"/>
  <c r="Y32" i="14"/>
  <c r="Y31" i="14"/>
  <c r="Y30" i="14"/>
  <c r="Y29" i="14"/>
  <c r="Y28" i="14"/>
  <c r="Y27" i="14"/>
  <c r="Y26" i="14"/>
  <c r="Y25" i="14"/>
  <c r="Y24" i="14"/>
  <c r="Y23" i="14"/>
  <c r="Y22" i="14"/>
  <c r="Y21" i="14"/>
  <c r="Y20" i="14"/>
  <c r="Y19" i="14"/>
  <c r="Y18" i="14"/>
  <c r="Y17" i="14"/>
  <c r="Y16" i="14"/>
  <c r="Y15" i="14"/>
  <c r="Y14" i="14"/>
  <c r="Y13" i="14"/>
  <c r="Y12" i="14"/>
  <c r="X94" i="13"/>
  <c r="X93" i="13"/>
  <c r="X92" i="13"/>
  <c r="X91" i="13"/>
  <c r="X90" i="13"/>
  <c r="X89" i="13"/>
  <c r="X88" i="13"/>
  <c r="X87" i="13"/>
  <c r="X86" i="13"/>
  <c r="X85" i="13"/>
  <c r="X84" i="13"/>
  <c r="X83" i="13"/>
  <c r="X82" i="13"/>
  <c r="X81" i="13"/>
  <c r="X80" i="13"/>
  <c r="X79" i="13"/>
  <c r="X78" i="13"/>
  <c r="X77" i="13"/>
  <c r="X76" i="13"/>
  <c r="X75" i="13"/>
  <c r="X74" i="13"/>
  <c r="X73" i="13"/>
  <c r="X72" i="13"/>
  <c r="X71" i="13"/>
  <c r="X70" i="13"/>
  <c r="X69" i="13"/>
  <c r="X67" i="13"/>
  <c r="X66" i="13"/>
  <c r="X65" i="13"/>
  <c r="X64" i="13"/>
  <c r="X63" i="13"/>
  <c r="X62" i="13"/>
  <c r="X61" i="13"/>
  <c r="X60" i="13"/>
  <c r="X59" i="13"/>
  <c r="X58" i="13"/>
  <c r="X57" i="13"/>
  <c r="X56" i="13"/>
  <c r="X55" i="13"/>
  <c r="X54" i="13"/>
  <c r="X53" i="13"/>
  <c r="X52" i="13"/>
  <c r="X51" i="13"/>
  <c r="X50" i="13"/>
  <c r="X49" i="13"/>
  <c r="X48" i="13"/>
  <c r="X47" i="13"/>
  <c r="X46" i="13"/>
  <c r="X45" i="13"/>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Y15" i="12"/>
  <c r="Y14" i="12"/>
  <c r="Y13" i="12"/>
  <c r="Y12" i="12"/>
  <c r="Y24" i="7"/>
  <c r="Y23" i="7"/>
  <c r="Y22" i="7"/>
  <c r="Y21" i="7"/>
  <c r="Y19" i="7"/>
  <c r="Y18" i="7"/>
  <c r="Y17" i="7"/>
  <c r="Y16" i="7"/>
  <c r="Y15" i="7"/>
  <c r="Y14" i="7"/>
  <c r="Y13" i="7"/>
  <c r="Y12" i="7"/>
  <c r="Y98" i="4"/>
  <c r="Y97" i="4"/>
  <c r="Y96" i="4"/>
  <c r="Y95" i="4"/>
  <c r="Y94" i="4"/>
  <c r="Y93" i="4"/>
  <c r="Y92" i="4"/>
  <c r="Y91" i="4"/>
  <c r="Y90" i="4"/>
  <c r="Y89" i="4"/>
  <c r="Y88" i="4"/>
  <c r="Y87" i="4"/>
  <c r="Y86" i="4"/>
  <c r="Y85" i="4"/>
  <c r="Y84" i="4"/>
  <c r="Y83" i="4"/>
  <c r="Y82" i="4"/>
  <c r="Y81" i="4"/>
  <c r="Y80" i="4"/>
  <c r="Y79" i="4"/>
  <c r="Y78" i="4"/>
  <c r="Y77" i="4"/>
  <c r="Y76" i="4"/>
  <c r="Y75" i="4"/>
  <c r="Y74" i="4"/>
  <c r="Y73" i="4"/>
  <c r="Y72" i="4"/>
  <c r="Y71" i="4"/>
  <c r="Y70" i="4"/>
  <c r="Y69" i="4"/>
  <c r="Y68" i="4"/>
  <c r="Y67" i="4"/>
  <c r="Y66" i="4"/>
  <c r="Y65" i="4"/>
  <c r="Y64" i="4"/>
  <c r="Y63" i="4"/>
  <c r="Y62" i="4"/>
  <c r="Y61" i="4"/>
  <c r="Y60" i="4"/>
  <c r="Y59" i="4"/>
  <c r="Y58" i="4"/>
  <c r="Y57" i="4"/>
  <c r="Y56" i="4"/>
  <c r="Y42" i="4"/>
  <c r="Y41" i="4"/>
  <c r="Y52" i="4"/>
  <c r="Y51" i="4"/>
  <c r="Y50" i="4"/>
  <c r="Y49" i="4"/>
  <c r="Y48" i="4"/>
  <c r="Y47" i="4"/>
  <c r="Y46" i="4"/>
  <c r="Y45" i="4"/>
  <c r="Y44" i="4"/>
  <c r="Y43" i="4"/>
  <c r="Y38" i="4"/>
  <c r="Y54" i="4"/>
  <c r="Y40" i="4"/>
  <c r="Y39" i="4"/>
  <c r="Y53" i="4"/>
  <c r="Y37" i="4"/>
  <c r="Y36" i="4"/>
  <c r="Y35" i="4"/>
  <c r="Y34" i="4"/>
  <c r="Y33" i="4"/>
  <c r="Y32" i="4"/>
  <c r="Y31" i="4"/>
  <c r="Y30" i="4"/>
  <c r="Y29" i="4"/>
  <c r="Y28" i="4"/>
  <c r="Y27" i="4"/>
  <c r="Y26" i="4"/>
  <c r="Y25" i="4"/>
  <c r="Y24" i="4"/>
  <c r="Y23" i="4"/>
  <c r="Y22" i="4"/>
  <c r="Y21" i="4"/>
  <c r="Y20" i="4"/>
  <c r="Y19" i="4"/>
  <c r="Y18" i="4"/>
  <c r="Y17" i="4"/>
  <c r="Y16" i="4"/>
  <c r="Y15" i="4"/>
  <c r="Y14" i="4"/>
  <c r="Y13" i="4"/>
  <c r="Y12" i="4"/>
  <c r="Y96" i="3"/>
  <c r="Y94" i="3"/>
  <c r="Y93" i="3"/>
  <c r="Y92" i="3"/>
  <c r="Y91" i="3"/>
  <c r="Y90" i="3"/>
  <c r="Y89" i="3"/>
  <c r="Y88" i="3"/>
  <c r="Y87" i="3"/>
  <c r="Y86" i="3"/>
  <c r="Y85" i="3"/>
  <c r="Y84" i="3"/>
  <c r="Y83" i="3"/>
  <c r="Y82" i="3"/>
  <c r="Y81" i="3"/>
  <c r="Y80" i="3"/>
  <c r="Y79" i="3"/>
  <c r="Y78" i="3"/>
  <c r="Y77" i="3"/>
  <c r="Y76" i="3"/>
  <c r="Y75" i="3"/>
  <c r="Y74" i="3"/>
  <c r="Y73" i="3"/>
  <c r="Y72" i="3"/>
  <c r="Y71" i="3"/>
  <c r="Y70" i="3"/>
  <c r="Y69" i="3"/>
  <c r="Y67" i="3"/>
  <c r="Y66" i="3"/>
  <c r="Y65" i="3"/>
  <c r="Y64" i="3"/>
  <c r="Y63" i="3"/>
  <c r="Y62" i="3"/>
  <c r="Y61" i="3"/>
  <c r="Y60" i="3"/>
  <c r="Y59" i="3"/>
  <c r="Y58" i="3"/>
  <c r="Y57" i="3"/>
  <c r="Y56" i="3"/>
  <c r="Y55" i="3"/>
  <c r="Y54" i="3"/>
  <c r="Y53" i="3"/>
  <c r="Y52" i="3"/>
  <c r="Y51" i="3"/>
  <c r="Y50" i="3"/>
  <c r="Y49" i="3"/>
  <c r="Y48" i="3"/>
  <c r="Y47" i="3"/>
  <c r="Y46" i="3"/>
  <c r="Y45" i="3"/>
  <c r="Y44" i="3"/>
  <c r="Y43" i="3"/>
  <c r="Y42" i="3"/>
  <c r="Y41" i="3"/>
  <c r="Y40" i="3"/>
  <c r="Y39" i="3"/>
  <c r="Y38" i="3"/>
  <c r="Y37" i="3"/>
  <c r="Y36" i="3"/>
  <c r="Y35" i="3"/>
  <c r="Y34" i="3"/>
  <c r="Y33" i="3"/>
  <c r="Y32" i="3"/>
  <c r="Y31" i="3"/>
  <c r="Y30" i="3"/>
  <c r="Y29" i="3"/>
  <c r="Y28" i="3"/>
  <c r="Y27" i="3"/>
  <c r="Y26" i="3"/>
  <c r="Y25" i="3"/>
  <c r="Y24" i="3"/>
  <c r="Y23" i="3"/>
  <c r="Y22" i="3"/>
  <c r="Y21" i="3"/>
  <c r="Y20" i="3"/>
  <c r="Y19" i="3"/>
  <c r="Y18" i="3"/>
  <c r="Y17" i="3"/>
  <c r="Y16" i="3"/>
  <c r="Y15" i="3"/>
  <c r="Y14" i="3"/>
  <c r="Y13" i="3"/>
  <c r="Y12" i="3"/>
  <c r="W17" i="12"/>
  <c r="V17" i="12"/>
  <c r="V28" i="7"/>
  <c r="V98" i="3"/>
  <c r="Y14" i="17" l="1"/>
  <c r="Y20" i="16"/>
  <c r="X12" i="15"/>
  <c r="X11" i="15"/>
  <c r="X68" i="13" l="1"/>
  <c r="Y26" i="7"/>
  <c r="Y25" i="7"/>
  <c r="Y20" i="7" l="1"/>
  <c r="X12" i="5"/>
  <c r="X11" i="5"/>
  <c r="Y95" i="3"/>
  <c r="Y68" i="3" l="1"/>
  <c r="V96" i="13" l="1"/>
  <c r="V26" i="16"/>
  <c r="V20" i="17"/>
  <c r="Y11" i="4"/>
  <c r="Y11" i="3"/>
  <c r="V100" i="14" l="1"/>
  <c r="W100" i="14"/>
  <c r="V14" i="15"/>
  <c r="W26" i="16"/>
  <c r="W20" i="17"/>
  <c r="Y11" i="17" l="1"/>
  <c r="Y55" i="14"/>
  <c r="Y55" i="4"/>
  <c r="X11" i="13"/>
  <c r="Y11" i="16"/>
  <c r="Y11" i="14"/>
  <c r="Y11" i="12" l="1"/>
  <c r="W28" i="7"/>
  <c r="Y11" i="7"/>
  <c r="V14" i="5"/>
  <c r="V100" i="4"/>
  <c r="W100" i="4"/>
  <c r="W98" i="3"/>
</calcChain>
</file>

<file path=xl/sharedStrings.xml><?xml version="1.0" encoding="utf-8"?>
<sst xmlns="http://schemas.openxmlformats.org/spreadsheetml/2006/main" count="3228" uniqueCount="560">
  <si>
    <t>CLAIMS BORDEREAUX REPORT</t>
  </si>
  <si>
    <t>Reinsured:</t>
  </si>
  <si>
    <t>PT Asuransi Tri Pakarta</t>
  </si>
  <si>
    <t>Treaty Name:</t>
  </si>
  <si>
    <t>Fire Quota Share Surplus</t>
  </si>
  <si>
    <t>klaim QS</t>
  </si>
  <si>
    <t>Period:</t>
  </si>
  <si>
    <t>1 April 2025 - 30 Juni 2025</t>
  </si>
  <si>
    <t>No</t>
  </si>
  <si>
    <t>REGISTER NO.</t>
  </si>
  <si>
    <t>POLICY NUMBER</t>
  </si>
  <si>
    <t>INSURED NAME</t>
  </si>
  <si>
    <t>COB</t>
  </si>
  <si>
    <t>UW YEAR</t>
  </si>
  <si>
    <t>PERIOD OF INSURANCE</t>
  </si>
  <si>
    <t>OCCUPATION CODE</t>
  </si>
  <si>
    <t>OCCUPATION</t>
  </si>
  <si>
    <t>DOL</t>
  </si>
  <si>
    <t>SOURCE (DIRECT/COINS/INWARD FAC.)</t>
  </si>
  <si>
    <t>CURR</t>
  </si>
  <si>
    <t>CLAIM 100%</t>
  </si>
  <si>
    <t>CEDANT'S SHARE</t>
  </si>
  <si>
    <t>SPREADING OF CLAIM</t>
  </si>
  <si>
    <t>Claim Quota Share
(Marsh Re Share)</t>
  </si>
  <si>
    <t>Claim Surplus
(Marsh Re Share)</t>
  </si>
  <si>
    <t>Outstanding Claims 100%</t>
  </si>
  <si>
    <t>Outstanding Claims 
(Marsh Re Share)</t>
  </si>
  <si>
    <t>NOTE</t>
  </si>
  <si>
    <t>START</t>
  </si>
  <si>
    <t>END</t>
  </si>
  <si>
    <t>%</t>
  </si>
  <si>
    <t>IN AMOUNT</t>
  </si>
  <si>
    <t>OR</t>
  </si>
  <si>
    <t>QS</t>
  </si>
  <si>
    <t>SURPLUS</t>
  </si>
  <si>
    <t>OTHERS</t>
  </si>
  <si>
    <t>0201042400009</t>
  </si>
  <si>
    <t>30201042300011</t>
  </si>
  <si>
    <t>PT HOTEL INDONESIA PROPERTY</t>
  </si>
  <si>
    <t>FIRE</t>
  </si>
  <si>
    <t>Hotels, Motels, Inns and the like (as 3 stars or higher)</t>
  </si>
  <si>
    <t>COINSURANCE MEMBER</t>
  </si>
  <si>
    <t>IDR</t>
  </si>
  <si>
    <t>0201042400011</t>
  </si>
  <si>
    <t>0301042400009</t>
  </si>
  <si>
    <t>30301042400090</t>
  </si>
  <si>
    <t>PT JAPFA COMFEED INDONESIA TBK DIVISI FEED BANJARMASIN</t>
  </si>
  <si>
    <t>All Operations of The Insured feed Mill and All Other Activities Incidental There to and/or All Other Occupation in Which The Insured May Become Engaged</t>
  </si>
  <si>
    <t>0301042500062</t>
  </si>
  <si>
    <t>30301042400234</t>
  </si>
  <si>
    <t>PT JAPFA COMFEED INDONESIA TBK - LAMPUNG FEED</t>
  </si>
  <si>
    <t>Fodder Mills</t>
  </si>
  <si>
    <t>0301042500063</t>
  </si>
  <si>
    <t>0301042500092</t>
  </si>
  <si>
    <t>30301042400263</t>
  </si>
  <si>
    <t>PT JAPFA COMFEED INDONESIA TBK - PADANG</t>
  </si>
  <si>
    <t>0401042300001</t>
  </si>
  <si>
    <t>30401042300038</t>
  </si>
  <si>
    <t xml:space="preserve">PT BANK MANDIRI (PERSERO )TBK QQ PT. PURA NUSAPERSADA DIVISI PM. 7 &amp; 8 </t>
  </si>
  <si>
    <t>WORKSHOP / PAPER MANUFACTURE / PAPER GOODS</t>
  </si>
  <si>
    <t>USD</t>
  </si>
  <si>
    <t>0401042300002</t>
  </si>
  <si>
    <t>30401042300052</t>
  </si>
  <si>
    <t xml:space="preserve">PT BANK  HSBC INDONESIA  QQ PT.PURA BARUTAMA DIVISI WORKSHOP </t>
  </si>
  <si>
    <t>WORKSHOP/PAPER MANUFACTURE/PAPER GOODS</t>
  </si>
  <si>
    <t>0701042400010</t>
  </si>
  <si>
    <t>30701042300239</t>
  </si>
  <si>
    <t>PT. AYOE INDOTAMA TEXTILE and/or group of companies and/or their respective subsidiary and/or affiliated and/or associated and/or inter related companies and/or any other companies owned, operated, managed or controlled and/or all, for their respective rights and interest or as more fully stated in the policy.</t>
  </si>
  <si>
    <t>Dyeing &amp; Finishing</t>
  </si>
  <si>
    <t>0701242300605</t>
  </si>
  <si>
    <t>30701042300252</t>
  </si>
  <si>
    <t>PT GODREJ CONSUMER PRODUCT INDONESIA (GCPI 1) any subsidiary and/or other company and/or related company, existing at the commencement of this Insurance of formed, purchased or otherwise acquired during the currency of the policy of their respective rights and interest. It is also agreed and declared that the name Insured includes the interest of any joint venture where PT GODREJ CONSUMER PRODUCT INDONESIA (GCPI 1) accepted obligation to insure.</t>
  </si>
  <si>
    <t>Insecticides &amp; herbicide (Obat Nyamuk Factory)</t>
  </si>
  <si>
    <t>0701042400076</t>
  </si>
  <si>
    <t>30701042300355</t>
  </si>
  <si>
    <t>PT. GRAHA ALAM LESTARI and/or HOTEL THE APURVA KEMPINSKI BALI (WINGS GROUP)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GRAHA ALAM LESTARI and/or HOTEL THE APURVA KEMPINSKI BALI (WINGS GROUP) accepted obligation to insure</t>
  </si>
  <si>
    <t>Hotel certified as 3 star and above and all other activities  incidental thereto and/or all other occupation in which the Insured  may become engaged</t>
  </si>
  <si>
    <t>0701042400059</t>
  </si>
  <si>
    <t>30701042300356</t>
  </si>
  <si>
    <t>PT SANTOS JAYA ABADI AND/OR SUBSIDIARY AND/OR AFFILIATED AND/OR INTER-RELATED COMPANIES FOR THEIR RESPECTIVE RIGHTS AND INTERESTS.</t>
  </si>
  <si>
    <t>Coffee Roasting Plants &amp; Other Roasting Plants, etc.</t>
  </si>
  <si>
    <t>0701042400192</t>
  </si>
  <si>
    <t>30701042400160</t>
  </si>
  <si>
    <t>PT. BANK RAKYAT INDONESIA (PERSERO) TBK, PROCUREMENT LOGISTIC  POLICY &amp; FIXED ASSET MANAGEMENT DIVISION (PLM) and/or for their respective rights and interest</t>
  </si>
  <si>
    <t>Apartments/ condominiums, offices, multi-storeyed car parks not exceeding 6 storeys above ground level</t>
  </si>
  <si>
    <t>0701042400224</t>
  </si>
  <si>
    <t>0701242400210</t>
  </si>
  <si>
    <t>30701242300060</t>
  </si>
  <si>
    <t>PT BANK NEGARA INDONESIA (PERSERO) TBK DIVISI CORPORATE BANKING 4 QQ PT. SREEYA SEWU INDONESIA - DIV. FEED SIDOARJO and/or Subsiadiary and/or Affiliated and/or Associated and/or FTRRI</t>
  </si>
  <si>
    <t>0901022400033</t>
  </si>
  <si>
    <t>30901022400157</t>
  </si>
  <si>
    <t>PT. DINAMIKA MAJU SELARAS and/or subsidiary/ies and/or associated companies and/or affiliated companies including those acquired or incorporated during the period of insurance for their respective rights and interests</t>
  </si>
  <si>
    <t>Swimming Pools or Complex of Swimming Pools, sport stadium, sport centre, fitness centre, gyms and the like, private (member only) club houses and/or sales activities and/or operation activities and/or other activities related to the insured`s business</t>
  </si>
  <si>
    <t>0901022400030</t>
  </si>
  <si>
    <t>30901022400256</t>
  </si>
  <si>
    <t>PPPSRS APT. THAMRIN RESIDENCES AND/OR ASSOCIATED AND/OR SUBSIDIARY AND/OR AFFILIATED COMPANIES INCLUDING THOSE ACQUIRED OR INCORPORATED DURING THE PERIOD OF INSURANCE FOR THEIR RESPECTIVE RIGHTS AND INTERESTS.</t>
  </si>
  <si>
    <t>Appartements/Condominium, offices exceeding 24 stroyers</t>
  </si>
  <si>
    <t>0901022500003</t>
  </si>
  <si>
    <t>30901022400898</t>
  </si>
  <si>
    <t>PPPSRS CAPITOL PARK RESIDENCE AND/OR SUBSIDIARY/IES AND/OR ASSOCIATED COMPANIES AND/OR AFFILIATED COMPANIES INCLUDING THOSE ACQUIRED OR INCORPORATED DURING THE PERIOD OF INSURANCE FOR THEIR RESPECTIVE RIGHTS AND INTERESTS</t>
  </si>
  <si>
    <t>Apartment in connect on to the Insured’s trade of business</t>
  </si>
  <si>
    <t>0901042300003</t>
  </si>
  <si>
    <t>30901042300090</t>
  </si>
  <si>
    <t>PT INDORAMA POLYCHEM INDONESIA (CPP) and/or any subsidiary and/or related company existing at the commencement of this insurance or formed, purchased or acquired during the currency of the Policy - all for their respective rights and interests.</t>
  </si>
  <si>
    <t>28111 - Principally as owners and operators of integrated petrochemical and polyester plants including, but not limited to, manufacture and sale of Purified Terephthalic Acid (PTA), Poly Ethylene Terephthalate (PET) Resin Plant, Continuous Polymerization Plant, Filament Synthetics Yarn Factory, Draw Winder Plant, Normal Propyl Acetate (NPA) and/or Spinning Plant, Captive Power Plant (CPP), and all auxiliary and supporting facilities which shall include Waste Water Treatment Facility, Utility Plant, Storage Tanks, Canteen, Warehouse, Office, Dormitory, Mosque, Dwelling House, and all other associated activities related to or incidental thereto or in which the Insured becomes engaged. PT. Indorama Polyester Industries Indonesia - Operations have been stopped at this factory. There are buildings, and stocks kept at this location. Stocks belonging to PT. Indorama Ventures Indonesia and PT. Indorama Polychem Indonesia are also stored at this location</t>
  </si>
  <si>
    <t>0901042400216</t>
  </si>
  <si>
    <t>30901042300201</t>
  </si>
  <si>
    <t>CHAROEN POKPHAND INDONESIA, SEMARANG</t>
  </si>
  <si>
    <t>POULTRY FARMS</t>
  </si>
  <si>
    <t>0901042400095</t>
  </si>
  <si>
    <t>30901042400047</t>
  </si>
  <si>
    <t>PT. SETIA AGRO ABADI (SAA) AND/OR PT. PALMDALE AGROASIA LESTARI MAKMUR AND/OR PT. BORNEO CITRA PERSADA JAYA AND/OR ASSOCIATED AND/OR SUBSIDIARY AND/OR AFFILIATED COMPANIES INCLUDING THOSE ACQUIRED OR INCORPORATED DURING THE PERIOD OF INSURANCE FOR THEIR RESPECTIVE RIGHTS AND INTERESTS.</t>
  </si>
  <si>
    <t>Barak Beton G5 and/or other activities related to the insured trade of business</t>
  </si>
  <si>
    <t>0901042400372</t>
  </si>
  <si>
    <t>30901042400052</t>
  </si>
  <si>
    <t>PT. BORNEO CITRA PERSADA JAYA (BCPJ) AND/OR ASSOCIATED AND/OR SUBSIDIARY AND/OR AFFILIATED COMPANIES INCLUDING THOSE ACQUIRED OR INCORPORATED DURING THE PERIOD OF INSURANCE FOR THEIR RESPECTIVE RIGHTS AND INTERESTS</t>
  </si>
  <si>
    <t>Barak G10 and/or other activities related to the insured trade of business</t>
  </si>
  <si>
    <t>0901042400459</t>
  </si>
  <si>
    <t>0901042400174</t>
  </si>
  <si>
    <t>30901042400064</t>
  </si>
  <si>
    <t>PT. CITRA PALMA PERTIWI (CPP 2) AND/OR ASSOCIATED AND/OR SUBSIDIARY AND/OR AFFILIATED COMPANIES INCLUDING THOSE ACQUIRED OR INCORPORATED DURING THE PERIOD OF INSURANCE FOR THEIR RESPECTIVE RIGHTS AND INTERESTS</t>
  </si>
  <si>
    <t>Barak G5 and/or other activities related to the insured trade of business</t>
  </si>
  <si>
    <t>0901042400328</t>
  </si>
  <si>
    <t>0901042400495</t>
  </si>
  <si>
    <t>30901042400116</t>
  </si>
  <si>
    <t>PERHIMPUNAN PEMILIK DAN PENGHUNI SATUAN RUMAH SUSUN APARTMENT THE ELEMENTS AND/OR PT. BUMI SERPONG DAMAI, TBK and/or subsidiary/ies and/or associated companies and/or affiliated companies including those acquired or incorporated during the period of insurance for their respective rights and interests</t>
  </si>
  <si>
    <t>Apartments/ condominiums, offices, multi-storeyed car parks -exceeding 24 storeys above ground and/or sales activities and/or operation activities and/or other activities related to the insured`s business</t>
  </si>
  <si>
    <t>0901042400133</t>
  </si>
  <si>
    <t>30901042400171</t>
  </si>
  <si>
    <t>DUTA CAKRA PESONA, PT. and/or subsidiary/ies and/or associated companies and/or affiliated companies including those acquired or incorporated during the period of insurance for their respective rights and interests</t>
  </si>
  <si>
    <t>0901042400394</t>
  </si>
  <si>
    <t>30901042400185</t>
  </si>
  <si>
    <t xml:space="preserve">PT MEDIKA KOMUNIKA TEKNOLOGI and/or associated and/or subsidiary and/or affiliated companies including those acquired or incorporated during the period of insurance for their respective rights and interests. </t>
  </si>
  <si>
    <t>Office</t>
  </si>
  <si>
    <t>0901042400318</t>
  </si>
  <si>
    <t>30901042400213</t>
  </si>
  <si>
    <t>PT FINUSOLPRIMA FRAMA INTERNASIONAL and/or associated and/or subsidiary and/or affiliated companies including those acquired or incorporated during the period of insurance for their respective rights and interests.</t>
  </si>
  <si>
    <t>Pharmaceutical Products Factory</t>
  </si>
  <si>
    <t>0901042400409</t>
  </si>
  <si>
    <t>0901042400543</t>
  </si>
  <si>
    <t>30901042400214</t>
  </si>
  <si>
    <t>PT GLOBAL CHEMINDO MEGATRADING and/or associated and/or subsidiary and/or affiliated companies including those acquired or incorporated during the period of insurance for their respective rights and interests.</t>
  </si>
  <si>
    <t>Private Warehouses</t>
  </si>
  <si>
    <t>0901042500042</t>
  </si>
  <si>
    <t>30901042400229</t>
  </si>
  <si>
    <t xml:space="preserve">PT. Hexpharm Jaya Laboratories and/or associated and/or subsidiary and/or affiliated companies including those acquired or incorporated during the period of insurance for their respective rights and interest </t>
  </si>
  <si>
    <t>0901042400234</t>
  </si>
  <si>
    <t>30901042400261</t>
  </si>
  <si>
    <t>P3SRS KOMERSIAL CAMPURAN SEASONS CITY AND/OR ASSOCIATED AND/OR SUBSIDIARY AND/OR AFFILIATED COMPANIES INCLUDING THOSE ACQUIRED OR INCORPORATED DURING THE PERIOD OF INSURANCE FOR THEIR RESPECTIVE RIGHTS AND INTERESTS</t>
  </si>
  <si>
    <t>Apartment and/or Office and/or sales activities and/or operation activities and/or others related to the insured business.</t>
  </si>
  <si>
    <t>0901042400386</t>
  </si>
  <si>
    <t>0901042400538</t>
  </si>
  <si>
    <t>30901042400281</t>
  </si>
  <si>
    <t>PERHIMPUNAN PENGHUNI RUMAH SUSUN BUKAN HUNIAN ITC BSD and/or subsidiary/ies and/or associated companies and/or affiliated companies including those acquired or incorporated during the period of insurance for their respective rights and interests</t>
  </si>
  <si>
    <t>29313-B</t>
  </si>
  <si>
    <t>Shopping mall/center Grade B and/or sales activities and/or operation activities and/or other activities related to the insured`s business</t>
  </si>
  <si>
    <t>0901042400367</t>
  </si>
  <si>
    <t>30901042400288</t>
  </si>
  <si>
    <t>PT DANKOS FARMA and/or associated and/or subsidiary and/or affiliated companies including those acquired or incorporated during the period of insurance for their respective rights and interests.</t>
  </si>
  <si>
    <t>Pharmaceutical Product Factory</t>
  </si>
  <si>
    <t>0901042400457</t>
  </si>
  <si>
    <t>30901042400309</t>
  </si>
  <si>
    <t>PPPSRS APT. THE JAKARTA RESIDENCES AND/OR ASSOCIATED AND/OR SUBSIDIARY AND/OR AFFILIATED COMPANIES INCLUDING THOSE ACQUIRED OR INCORPORATED DURING THE PERIOD OF INSURANCE FOR THEIR RESPECTIVE RIGHTS AND INTERESTS.</t>
  </si>
  <si>
    <t>0901042400480</t>
  </si>
  <si>
    <t>30901042400329</t>
  </si>
  <si>
    <t>PT Papyrus Sakti and/or subsidiary and/or affiliated and/or inter related companies for their respective rights and interests.</t>
  </si>
  <si>
    <t>All operations of the Insured, including but not limited to Paper / Carton / cardboard Manufacturer and all other activities and any other occupation related to the lnsured`s nature of business.</t>
  </si>
  <si>
    <t>0901042400509</t>
  </si>
  <si>
    <t>30901042400531</t>
  </si>
  <si>
    <t>PT KALBE FARMA TBK and/or associated and/or subsidiary and/or affiliated companies including those acquired or incorporated during the period of insurance for their respective rights and interests.</t>
  </si>
  <si>
    <t>Pharmaceutical Product</t>
  </si>
  <si>
    <t>0901052400017</t>
  </si>
  <si>
    <t>30901052300564</t>
  </si>
  <si>
    <t>PT. KAHATEX and/or subsidiary and/or affiliated and/or associated and/or for their respective rights and interests</t>
  </si>
  <si>
    <t>Mixed Processes (Spinning, weaving) : Synthetic fibres and/or sales activities and/or operation activities and/or others related to the insured business</t>
  </si>
  <si>
    <t>0901052400054</t>
  </si>
  <si>
    <t>30901052400104</t>
  </si>
  <si>
    <t>SMART TBK, PT. _ PLANT PRODUCTION &amp; BIOTECH and/or subsidiary/ies and/or associated companies and/or affiliated companies including those acquired or incorporated during the period of insurance for their respective rights and interests</t>
  </si>
  <si>
    <t>Edible Oils Plants and Other Plants Producing Edible Palm Oil (CPO, PKO, CCO), cooking oil and margarine from vegetable oil or Other Edible Oils or Desiccated Coconut and/or sales activities and/or operation activities and/or other activities related to the insured`s business</t>
  </si>
  <si>
    <t>0901052400126</t>
  </si>
  <si>
    <t>30901052400226</t>
  </si>
  <si>
    <t>PT BUANA TUNAS SEJAHTERA QQ SERIANG ESTATE AND/OR COMPANIES LISTED IN THE ATTACHMENT AND/OR ASSOCIATED COMPANIES AND/OR SUBSIDIARY COMPANIES AND/OR AFFILIATED COMPANIES INCLUDING THOSE ACQUIRED OR INCORPORATED DURING THE PERIOD OF INSURANCE FOR THEIR RESPECTIVE RIGHTS AND INTERESTS.</t>
  </si>
  <si>
    <t>Edible Oils Plants &amp; Other Plants Producing Edible Palm Oil (CPO, PKO, CCO), cooking oil and margarine from vegetable oil or other edible oils or desiccated coconut and/or sales activities and/or operation activities and/or other activities related to insureds business</t>
  </si>
  <si>
    <t>0901052400085</t>
  </si>
  <si>
    <t>30901052400299</t>
  </si>
  <si>
    <t>SINAR MEADOW INTERNATIONAL INDONESIA, PT  and/or subsidiary/ies and/or associated companies and/or affiliated companies including those acquired or incorporated during the period of insurance for their respective rights and i</t>
  </si>
  <si>
    <t>0901052400087</t>
  </si>
  <si>
    <t>0101042300056</t>
  </si>
  <si>
    <t>40101042300044</t>
  </si>
  <si>
    <t>PT Graha Karya Inti and/or Gold Coast Apartment and/or subsidiary and/or affiliated and/or related companies and/or operator for their respective rights and interest</t>
  </si>
  <si>
    <t>INWARD FACULTATIVE</t>
  </si>
  <si>
    <t>0101042400116</t>
  </si>
  <si>
    <t>PT Graha Karya Inti and/or Menteng Park Apartment and/or subsidiary and/or affiliated and/or related companies and/or operator for their respective rights and interest</t>
  </si>
  <si>
    <t>0101042400010</t>
  </si>
  <si>
    <t>40101042300049</t>
  </si>
  <si>
    <t>PT. Kusuma Anugrah Damai Sejahtera and/or PT Kusuma Jaya Indah and/or Pesona Alam Resort &amp; Spa and/or Associated and/or subsidiary and/or affiliated companies including those acquired or incorporated during the period of insurance for their respective rig</t>
  </si>
  <si>
    <t>Department Stores, Supermarket, Shopping Centre</t>
  </si>
  <si>
    <t>0101042400122</t>
  </si>
  <si>
    <t>40101042400005</t>
  </si>
  <si>
    <t>Indosat Ooredoo (PT Indosat, Tbk)</t>
  </si>
  <si>
    <t>Telecommunication operator engaged in furnishing telephone voice and data communication including their telephone transmission such as optical fiber and microwave or satellite facilities</t>
  </si>
  <si>
    <t>0101042400173</t>
  </si>
  <si>
    <t>0101042400174</t>
  </si>
  <si>
    <t>0101042500003</t>
  </si>
  <si>
    <t>0101042500004</t>
  </si>
  <si>
    <t>0101042500005</t>
  </si>
  <si>
    <t>0101042400195</t>
  </si>
  <si>
    <t>40101042400015</t>
  </si>
  <si>
    <t>PT DJARUM TOBACCO including any subsidiary and/or related company of the unnamed of this existing at the commencement of this insurance or formade, purchased or otherwise acquired during the currency of the policy for their respective rights and interest.</t>
  </si>
  <si>
    <t>0801042500002</t>
  </si>
  <si>
    <t>10801042400156</t>
  </si>
  <si>
    <t>PT BANK NEGARA INDONESIA (PERSERO) TBK COMMERCIAL BUSINESS CENTER DENPASAR QQ PT OMBAK SUNSET (HOTEL OMBAK SUNSET)</t>
  </si>
  <si>
    <t>HOTEL</t>
  </si>
  <si>
    <t>DIRECT INSURANCE</t>
  </si>
  <si>
    <t>1201212500001</t>
  </si>
  <si>
    <t>11201212400088</t>
  </si>
  <si>
    <t>PT. BANK NEGARA INDONESIA (PERSERO) TBK KANTOR CABANG PEMBANTU (KCP) A. YANI KM. 8 BANJARMASIN QQ WAHYUDIN</t>
  </si>
  <si>
    <t>0301052400005</t>
  </si>
  <si>
    <t>20301052400004</t>
  </si>
  <si>
    <t>PT GEMA LESTARI INDONESIA</t>
  </si>
  <si>
    <t>Manufacture of plywood (triplex, multiplex) and veneer and blacboard, laminboard, fancy flooring and other related product provided carried out in the same (plywood) manucture building using formaldehyde synthetic resin adhesive and/or sales activities and/or operation activities and/or others related to the insured business.</t>
  </si>
  <si>
    <t>COINSURANCE LEADER</t>
  </si>
  <si>
    <t>0301142400010</t>
  </si>
  <si>
    <t>20301142400001</t>
  </si>
  <si>
    <t>PT GUDANG GARAM, TBK</t>
  </si>
  <si>
    <t>Cigarette Manufacturer / Warehouse / Office</t>
  </si>
  <si>
    <t>0201042400015</t>
  </si>
  <si>
    <t>30201042400012</t>
  </si>
  <si>
    <t>PT. BANK MASPION INDONESIA QQ PT SUMMIT SEOYON INDONESIA</t>
  </si>
  <si>
    <t>PABRIK PLASTIK</t>
  </si>
  <si>
    <t>0701042400033</t>
  </si>
  <si>
    <t>30701042400167</t>
  </si>
  <si>
    <t xml:space="preserve">PT BANK NEGARA INDONESIA (PERSERO) TBK DIVISI ENTERPRISE BANKING QQ PT ARWANA NUANSA KERAMIK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Bank BNI (Persero), Tbk Divisi Korporasi qq PT. ARWANA NUANSA KERAMIK accepted obligation to insure. </t>
  </si>
  <si>
    <t>Mainly Ceramic Factory and/or Ceramic Color and/or  Ceramic Frit and/or Private Warehouse and/or Canteen and/or  Dormitory and/or Office and all other activities incidental thereto  and/or all other occupation in which the Insured may become  engaged.</t>
  </si>
  <si>
    <t>0701042500034</t>
  </si>
  <si>
    <t>30701042500038</t>
  </si>
  <si>
    <t xml:space="preserve">PT GLICO WINGS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above Insured accepted obligation to insure. </t>
  </si>
  <si>
    <t>Ice Cream Manufacture - Dairies and Dairy Products</t>
  </si>
  <si>
    <t>0701042500070</t>
  </si>
  <si>
    <t>0701042500103</t>
  </si>
  <si>
    <t>0701042500104</t>
  </si>
  <si>
    <t>0701042500105</t>
  </si>
  <si>
    <t>0701042500232</t>
  </si>
  <si>
    <t>0701042500233</t>
  </si>
  <si>
    <t>0901042400368</t>
  </si>
  <si>
    <t>30901042400523</t>
  </si>
  <si>
    <t>PERHIMPUNAN PEMILIK DAN PENGHUNI SATUAN RUMAH SUSUN APARTEMEN FRENCH WALK AND AND/OR ASSOCIATED AND/OR SUBSIDIARY AND/OR AFFILIATED COMPANIES INCLUDING THOSE ACQUIRED OR INCORPORATED DURING THE PERIOD OF INSURANCE FOR THEIR RESPECTIVE RIGHTS AND INTERESTS</t>
  </si>
  <si>
    <t>Apartment and/or sales activities and/or operation activities and/or others related to the insured business</t>
  </si>
  <si>
    <t>0901042400364</t>
  </si>
  <si>
    <t>30901042400533</t>
  </si>
  <si>
    <t>PPPSRS THE MANSION AT DUKUH GOLF KEMAYORAN CLUSTER JASMINE AND AND/OR ASSOCIATED AND/OR SUBSIDIARY AND/OR AFFILIATED COMPANIES INCLUDING THOSE ACQUIRED OR INCORPORATED DURING THE PERIOD OF INSURANCE FOR THEIR RESPECTIVE RIGHTS AND INTERESTS</t>
  </si>
  <si>
    <t>Apartment and/or sales activities and/or operation activities and/or other activities related to the insured`s business</t>
  </si>
  <si>
    <t>0901042400365</t>
  </si>
  <si>
    <t>0901042500019</t>
  </si>
  <si>
    <t>30901042400629</t>
  </si>
  <si>
    <t>CHAROEN POKPHAND INDONESIA, FOOD CIKANDE</t>
  </si>
  <si>
    <t>Mixed</t>
  </si>
  <si>
    <t>0901042400464</t>
  </si>
  <si>
    <t>30901042400642</t>
  </si>
  <si>
    <t xml:space="preserve">Perhimpunan Penghuni Mall Metropolis Town Square as Association of Mall Unit Owner QQ PT. Metropolis Propertindo Utama as Mall Developer QQ PT. Gema Metropolis Modern as one of Mall Unit Owner QQ PT. Lippo Malls Indonesia as Property Manager and all subsidiary or controlled companies, for their respective rights and interests </t>
  </si>
  <si>
    <t>Shopping Mall Grade A in connect on to the Insured’s trade of business</t>
  </si>
  <si>
    <t>0901042500050</t>
  </si>
  <si>
    <t>30901042400678</t>
  </si>
  <si>
    <t>PRIMAGRAHA CITRA, PT AND/OR PT WAHANA CIPTA SEJAHTERA AND/OR PERHIMPUAN PENGHUNI PUSAT GROSIR CILILITAN AND/OR ASSOCIATED AND/OR SUBSIDIARY AND/OR AFFILIATED COMPANIES INCLUDING THOSE ACQUIRED OR INCORPORATED DURING THE PERIOD OF INSURANCE FOR THEIR RESPECTIVE RIGHTS AND INTERESTS.</t>
  </si>
  <si>
    <t>Shopping mall/center Grade B and/or sales activities and/or operation activities and/or others related to the insured business.</t>
  </si>
  <si>
    <t>0901042500025</t>
  </si>
  <si>
    <t>30901042500122</t>
  </si>
  <si>
    <t>PT PANCA KRAFT PRATAMA and/or subsidiary and/or affiliated and/or inter-related companies for their respective rights and interests</t>
  </si>
  <si>
    <t>Paper Manufacturer</t>
  </si>
  <si>
    <t>0901042500095</t>
  </si>
  <si>
    <t>30901042500413</t>
  </si>
  <si>
    <t>Kalventis Sinergi Farma PT and/or associated and/or subsidiary and/or affiliated companies including those acquired or incorporated during the period of insurance for their respective rights and interests.</t>
  </si>
  <si>
    <t>0901242500002</t>
  </si>
  <si>
    <t>30901242400051</t>
  </si>
  <si>
    <t>PPPSRS THE PAKUBUWONO HOUSE AND/OR ASSOCIATED AND/OR SUBSIDIARY AND/OR AFFILIATED COMPANIES INCLUDING THOSE ACQUIRED OR INCORPORATED DURING THE PERIOD OF INSURANCE FOR THEIR RESPECTIVE RIGHTS AND INTERESTS.</t>
  </si>
  <si>
    <t>Apartment and/or sales activities and/or operation activities and/or others related to the insured business.</t>
  </si>
  <si>
    <t>0901242400017</t>
  </si>
  <si>
    <t>30901242400065</t>
  </si>
  <si>
    <t>PPPSRSSH THE PAKUBUWONO SPRING AND/OR ASSOCIATED AND/OR SUBSIDIARY AND/OR AFFILIATED COMPANIES INCLUDING THOSE ACQUIRED OR INCORPORATED DURING THE PERIOD OF INSURANCE FOR THEIR RESPECTIVE RIGHTS AND INTERESTS.</t>
  </si>
  <si>
    <t>0901242500011</t>
  </si>
  <si>
    <t>30901242500002</t>
  </si>
  <si>
    <t>PERHIMPUNAN PEMILIK DAN PENGHUNI SATUAN RUMAH SUSUN (P3SRS) APARTEMEN EKSEKUTIF MENTENG AND/OR PT TODA EKSEKUTIF PROPERTIES AND/OR PT. ASCOTT INTERNATIONAL MANAGEMENT INDONESIA AND/OR ASSOCIATED AND/OR SUBSIDIARY AND/OR AFFIL</t>
  </si>
  <si>
    <t>Apartments/ condominiums, offices, multi-storeyed car parks exceeding 6 storeys up to 18 storeys above ground level d and/or sales activities and/or operation activities and/or others related to the insured business</t>
  </si>
  <si>
    <t>1101052500007</t>
  </si>
  <si>
    <t>31101052400050</t>
  </si>
  <si>
    <t>PT BANK CENTRAL ASIA,TBK QQ PT TRISULA TEXTILE INDUSTRIES QQ PT BANK BCA TBK, KANWIL I BANDUNG</t>
  </si>
  <si>
    <t>Weaving,Pre-Weaving Processes : Synthetic Fibres</t>
  </si>
  <si>
    <t>1301052400004</t>
  </si>
  <si>
    <t>31301052400026</t>
  </si>
  <si>
    <t xml:space="preserve">PT BANK CTBC INDONESIA QQ PT RAJAPAKSI ADYAPERKASA </t>
  </si>
  <si>
    <t>Other Materials or Mixture of abovmentioned materials, etc</t>
  </si>
  <si>
    <t>1901042500002</t>
  </si>
  <si>
    <t>31901042400021</t>
  </si>
  <si>
    <t>PT ZTT CABLE INDONESIA including any subsidiary and/or related company of the unnamed of this existing at the commencement of this insurance or formed, purchased or otherwise acquired during the currency of the Policy for their respective rights and interests.  It is also agreed and declared that the named Insured includes the interest of any joint venture where PT ZTT CABLE INDONESIA accepted obligation to insure.</t>
  </si>
  <si>
    <t>All operations of the Insured including but not limited to Importers, Exporters,  Retailers,  Manufacturers,  Office,  warehouse,  guardhouse,  and wholesale distribution of fiber optic communication, power transmission product, electrical, electronic system and all other activities incidental thereto and/or all other occupation in which the Insured may become engaged.</t>
  </si>
  <si>
    <t>1701042500001</t>
  </si>
  <si>
    <t>11701042500003</t>
  </si>
  <si>
    <t>ANGEL GABRIEL WAURAN</t>
  </si>
  <si>
    <t>RUMAH TINGGAL</t>
  </si>
  <si>
    <t>1801362500002</t>
  </si>
  <si>
    <t>11801362500037</t>
  </si>
  <si>
    <t>PT. BANK NEGARA INDONESIA (PERSERO) TBK KANTOR CABANG KEBUMEN QQ ADE CATUR WIBOWO ( BWU )</t>
  </si>
  <si>
    <t>GUDANG</t>
  </si>
  <si>
    <t>Engineering Quota Share Surplus</t>
  </si>
  <si>
    <t>0608012400001</t>
  </si>
  <si>
    <t>10608012300001</t>
  </si>
  <si>
    <t>PT AWAL BROS PUTRA MEDIKA</t>
  </si>
  <si>
    <t>ENGINEERING</t>
  </si>
  <si>
    <t>N/A</t>
  </si>
  <si>
    <t>1908012400001</t>
  </si>
  <si>
    <t>30208012300007</t>
  </si>
  <si>
    <t>PT WIJAYA KARYA (PERSERO) TBK as main contractor and/or sub- contractors and/or consultant(s) and/or suppliers for their respective rights and interest</t>
  </si>
  <si>
    <t>0208012400004</t>
  </si>
  <si>
    <t>30208012300011</t>
  </si>
  <si>
    <t>PT. WIJAYA KARYA BANGUNAN GEDUNG as Main Contractor and/or Sub- contractors and/or Consultant(s) and/or Suppliers for their respective rights and interests</t>
  </si>
  <si>
    <t>0708022400001</t>
  </si>
  <si>
    <t>30708022300001</t>
  </si>
  <si>
    <t>PT. SEHAT ALAM SEGAR as Principal and/or Main Contractor(s) and/or Sub -Contractor(s) and/or sub other contractors and/or financier and/or any other party for whom the Insured undertakes to insure for their respective rights, interests and liabilities in respect of project activities</t>
  </si>
  <si>
    <t>0708032500007</t>
  </si>
  <si>
    <t>30708032300071</t>
  </si>
  <si>
    <t>PT. MUSTIKA AGUNG SENTOSA QQ PT. BANK MANDIRI (PERSERO) Tbk. and/or Affiliated Co. and/or Associated Co. and/or f.t.r.r.i.</t>
  </si>
  <si>
    <t>Crude Palm Oil Factory and/or  any other activities and/or any other occupation related to the Insured`s nature of business.</t>
  </si>
  <si>
    <t>0708082400037</t>
  </si>
  <si>
    <t>30708082300007</t>
  </si>
  <si>
    <t>BADAN PENGATUR JALAN TOL (BPJT) KEMENTERIAN PEKERJAAN UMUM DAN PERUMAHAN RAKYAT and/or PT. JTD JAYA PRATAMA and/or other subsidiary company or related company, existing at the commencement of this insurance or formed, purchased  or otherwise  acquired during the currency of the Policy for their respective rights and interest.  It is also agreed and declared that the name insured shall includes the interests of any joint venture where BADAN PENGATUR JALAN TOL (BPJT) KEMENTERIAN PEKERJAAN UMUM DAN PERUMAHAN RAKYAT and/or PT. JTD JAYA PRATAMA accepted obligation to insure.</t>
  </si>
  <si>
    <t>TOLL ROAD (Construction Firms, Road Construction &amp; Construction Sites) INCLUDING TOLL ROAD, OVERPASS, UNDERPASS, BRIDGES, EQUIPMENT AND BUILDING/BOOTHS LOCATED AT THE AREA</t>
  </si>
  <si>
    <t>0708082400051</t>
  </si>
  <si>
    <t>0708082400053</t>
  </si>
  <si>
    <t>30708082300011</t>
  </si>
  <si>
    <t>PT PEMALANG BATANG TOL ROAD (PBTR)</t>
  </si>
  <si>
    <t>Highways, Briges, Airport Runway</t>
  </si>
  <si>
    <t>0708082400064</t>
  </si>
  <si>
    <t>0708082500023</t>
  </si>
  <si>
    <t>0708082400047</t>
  </si>
  <si>
    <t>30708082300012</t>
  </si>
  <si>
    <t>PT BANK RAKYAT INDONESIA (PERSERO) TBK QQ PT KRESNA KUSUMA DYANDRA MARGA (KKDM) and/or their respective subsdiary and/or associated and/or affiliated companies each for their respective rights and interest</t>
  </si>
  <si>
    <t>Toll Road Management Company</t>
  </si>
  <si>
    <t>0708082400056</t>
  </si>
  <si>
    <t>0708082500016</t>
  </si>
  <si>
    <t>0708082500017</t>
  </si>
  <si>
    <t>0908012400008</t>
  </si>
  <si>
    <t>30908012300015</t>
  </si>
  <si>
    <t>PT PEMBANGUNAN PERUMAHAN (PERSERO) TBK</t>
  </si>
  <si>
    <t>0908012400009</t>
  </si>
  <si>
    <t>0908012500003</t>
  </si>
  <si>
    <t>0908012400002</t>
  </si>
  <si>
    <t>30908012300021</t>
  </si>
  <si>
    <t xml:space="preserve">PT HUTAMA KARYA and/or Contractor and/or Contractors and/or Sub-Contractors and/or Principal Specialist Contractors and/or Professional Advisers Consultants and/or their Agents and/or Suppliers and/or any other interested Company or Party for their respective rights and interest as main contractors and/or sub contractors and /or consultants and/or Suppliers and/or associates companies for their respective right and interest. </t>
  </si>
  <si>
    <t>0908032400006</t>
  </si>
  <si>
    <t>30908032300187</t>
  </si>
  <si>
    <t>PT BANK CENTRAL ASIA, TBK QQ PT SUMATERA PRIMA FIBREBOARD and/or Subsidiary Companies and/or Associated Companies and/or Affiliated COmpanies for their respective rights and interests</t>
  </si>
  <si>
    <t>Medium Density Fibreboard (MDF) Factory</t>
  </si>
  <si>
    <t>0908032400008</t>
  </si>
  <si>
    <t>0908032400010</t>
  </si>
  <si>
    <t>30908032400019</t>
  </si>
  <si>
    <t>PRAJA PURI INDAH REAL ESTATE, PT. QQ PRAJA PURI LESTARI and/or subsidiary/ies and/or associated companies and/or affiliated companies including those acquired or incorporated during the period of insurance for their respective rights and interests</t>
  </si>
  <si>
    <t>0908032400009</t>
  </si>
  <si>
    <t>30908032400028</t>
  </si>
  <si>
    <t xml:space="preserve">PT. Saka Farma Laboratories and/or associated and/or subsidiary and/or affiliated companies including those acquired or incorporated during the period of insurance for their respective rights and interests. </t>
  </si>
  <si>
    <t>Private Warehouse &amp; Pharmaceutical Products Factory</t>
  </si>
  <si>
    <t>0908032400057</t>
  </si>
  <si>
    <t>30908032400032</t>
  </si>
  <si>
    <t>Pharmaceutical Products Factories and Medicated Plaster</t>
  </si>
  <si>
    <t>0908032400020</t>
  </si>
  <si>
    <t>30908032400083</t>
  </si>
  <si>
    <t>0908032400035</t>
  </si>
  <si>
    <t>0908032400077</t>
  </si>
  <si>
    <t>0908032400072</t>
  </si>
  <si>
    <t>30908032400093</t>
  </si>
  <si>
    <t>PT ENSEVAL PUTERA MEGATRADING and/or associated and/or subsidiary and/or affiliated companies including those acquired or incorporated during the period of insurance for their respective rights and interests</t>
  </si>
  <si>
    <t>Warehouse Building &amp; Electrical Installation</t>
  </si>
  <si>
    <t>1408032400001</t>
  </si>
  <si>
    <t>31408032300004</t>
  </si>
  <si>
    <t>PT PERKEBUNAN NUSANTARA III</t>
  </si>
  <si>
    <t>PERKEBUNAN</t>
  </si>
  <si>
    <t>1408032400002</t>
  </si>
  <si>
    <t>1408032400003</t>
  </si>
  <si>
    <t>1408032400004</t>
  </si>
  <si>
    <t>0108122300015</t>
  </si>
  <si>
    <t>40108122300001</t>
  </si>
  <si>
    <t>PT PLN Nusantara Power</t>
  </si>
  <si>
    <t>0308142500002</t>
  </si>
  <si>
    <t>10308142400033</t>
  </si>
  <si>
    <t>PT SUMBER URIP SEJATI</t>
  </si>
  <si>
    <t>IIIINDUS-0007</t>
  </si>
  <si>
    <t>All Operations of the insured business, including but not limited to CPO Manufacture / Factory and/or other activities and other occupation related to the insured`s nature of business</t>
  </si>
  <si>
    <t>0608142400002</t>
  </si>
  <si>
    <t>10608142400018</t>
  </si>
  <si>
    <t>PT BANK NEGARA INDONESIA (PERSERO) TBK KANTOR CABANG BUKITTINGGI QQ. ALISMAN</t>
  </si>
  <si>
    <t>PEMBUKAAN LAHAN, PEMBUATAN JALAN</t>
  </si>
  <si>
    <t>0608142500001</t>
  </si>
  <si>
    <t>10608142400025</t>
  </si>
  <si>
    <t>PT BANK PERKREDITAN RAKYAT ARTHA MARGAHAYU QQ MENDRI</t>
  </si>
  <si>
    <t>001AGRIC-0005</t>
  </si>
  <si>
    <t>LAND CLEARING</t>
  </si>
  <si>
    <t>0608142400001</t>
  </si>
  <si>
    <t>10608142400029</t>
  </si>
  <si>
    <t>PT BANK NEGARA INDONESIA (PERSERO) TBK KANTOR CABANG BUKITTINGGI QQ. PT. GRHA FERRY INDUSTRI</t>
  </si>
  <si>
    <t>Proyek pengerjaan jalan, jembatan dan pertambangan lainnya</t>
  </si>
  <si>
    <t>0708052400004</t>
  </si>
  <si>
    <t>10708052400006</t>
  </si>
  <si>
    <t>PT BANK NEGARA INDONESIA (PERSERO) TBK  DIVISI BISNIS COMMERCIAL 1 QQ PT HASNUR RIUNG SINERGI and/or subsidiaries and/or affiliated and/or associated and/or related for their respective rights, interests and liabilities.</t>
  </si>
  <si>
    <t>0708052400009</t>
  </si>
  <si>
    <t>10708052400036</t>
  </si>
  <si>
    <t>PT RIUNG MITRA LESTARI and/or all associated and/or subsidiary companies including those acquired or incorporated during the period of insurance for their respective rights and interests</t>
  </si>
  <si>
    <t>0708052400005</t>
  </si>
  <si>
    <t>10708052400037</t>
  </si>
  <si>
    <t>0908052400016</t>
  </si>
  <si>
    <t>10908052400006</t>
  </si>
  <si>
    <t xml:space="preserve">PT BANK JTRUST INDONESIA TBK QQ PT ANUGERAH SAKTI KONSTRUKSI UTAMA </t>
  </si>
  <si>
    <t>1208142500001</t>
  </si>
  <si>
    <t>11208142400098</t>
  </si>
  <si>
    <t>PT. BANK NEGARA INDONESIA (PERSERO) TBK KANTOR CABANG BATULICIN QQ PT. INTAN KIRANA BERSUJUD</t>
  </si>
  <si>
    <t>PERTAMBANGAN, PERKEBUNAN, PEKERJAAN UMUM DAN IRIGASI</t>
  </si>
  <si>
    <t>1208162400002</t>
  </si>
  <si>
    <t>11208162400034</t>
  </si>
  <si>
    <t>PT. BANK PEREKONOMIAN RAKYAT MITRATAMA ARTHABUANA QQ PT. ARTHA HIRO DHANA</t>
  </si>
  <si>
    <t>PERTAMBANGAN, PERKEBUNAN, IRIGASI DAN PEKERJAAN UMUM</t>
  </si>
  <si>
    <t>1408052400013</t>
  </si>
  <si>
    <t>11408052400004</t>
  </si>
  <si>
    <t>SANY CAPITAL SINGAPORE PTE LTD QQ PT. BESAR OLEH SIRTU</t>
  </si>
  <si>
    <t>1408052400012</t>
  </si>
  <si>
    <t>11408052400289</t>
  </si>
  <si>
    <t>PT. CHANDRA SAKTI UTAMA LEASING QQ CV. FINDO MAJU JAYA</t>
  </si>
  <si>
    <t>1408052400011</t>
  </si>
  <si>
    <t>11408052400318</t>
  </si>
  <si>
    <t>PT. BFI FINANCE INDONESIA QQ  PT. TRI PUTRA ERGUNA</t>
  </si>
  <si>
    <t>1408052400004</t>
  </si>
  <si>
    <t>11408052400348</t>
  </si>
  <si>
    <t>PT. ASTRA SEDAYA FINANCE QQ  PT. MITRA CIPTA BUMI BORNEO</t>
  </si>
  <si>
    <t>1408052400014</t>
  </si>
  <si>
    <t>11408052400366</t>
  </si>
  <si>
    <t>PT. BINASAHABAT JAYATAMA</t>
  </si>
  <si>
    <t>1708052500001</t>
  </si>
  <si>
    <t>11708052400008</t>
  </si>
  <si>
    <t>PT BANK NEGARA INDONESIA (PERSERO) TBK MAKASSAR COMMERCIAL BUSINESS CENTER QQ PT SAMUDERA MULIA ABADI</t>
  </si>
  <si>
    <t>0208012400008</t>
  </si>
  <si>
    <t>30208012400019</t>
  </si>
  <si>
    <t>PEMERINTAH REPUBLIK INDONESIA c.q. KEMENTERIAN PEKERJAAN UMUM DAN PERUMAHAN RAKYAT c.q. DIREKTORAT JENDERAL PERUMAHAN c.q. BALAI PELAKSANA PENYEDIAAN PERUMAHAN KALIMANTAN II c.q. Satuan Kerja Penyediaan Perumahan Ibu Kota Negara (IKN) Nusantara c.q. Pejabat Penandatanganan Kontrak as Owner and/or PT WIJAYA KARYA BANGUNAN GEDUNG Tbk. – PT BRANTAS ABIPRAYA (Persero), KSO. as Main Contractor and/or sub contractors and/or other parties and/or inter-related companies relating to this Contractor work/project for their respective rights and interests.</t>
  </si>
  <si>
    <t>0508052400004</t>
  </si>
  <si>
    <t>30508052400001</t>
  </si>
  <si>
    <t>PT BANK RAKYAT INDONESIA (PERSERO) TBK KANTOR CABANG MAKASSAR SOMBA OPU QQ PT ANUGERAH SAKTI KONSTRUKSI UTAMA including any subsidiary and/or related company of the unamed of this existing at the commencement of this insuranc</t>
  </si>
  <si>
    <t>0708042500008</t>
  </si>
  <si>
    <t>30708042400001</t>
  </si>
  <si>
    <t>PT BANK PERMATA Tbk Including any subsidiary and/or related company, existing at the commencement of this insurance or formed, purchased or otherwise acquired during the currency of the Policy for their respective rights and interests.</t>
  </si>
  <si>
    <t>0708042500010</t>
  </si>
  <si>
    <t>0708042500011</t>
  </si>
  <si>
    <t>0708042500012</t>
  </si>
  <si>
    <t>PT BANK PERMATA Tbk Including any subsidiary and/or related company, existing at the commencement of this insurance or formed, purchased or otherwise acquired during the currency of the Policy for their respective rights and</t>
  </si>
  <si>
    <t>0708042500013</t>
  </si>
  <si>
    <t>0708042500015</t>
  </si>
  <si>
    <t>0708042500016</t>
  </si>
  <si>
    <t>0708052500004</t>
  </si>
  <si>
    <t>30708052400004</t>
  </si>
  <si>
    <t>PT SHINHAN INDO FINANCE QQ PT PURWO BAKTI PERTIWI.  And or group of companies and/or their respective subsidiary and/or affiliated and/or associated and/or inter related companies and/or any other companies owned, operated, m</t>
  </si>
  <si>
    <t>0708082500022</t>
  </si>
  <si>
    <t>30708082400009</t>
  </si>
  <si>
    <t xml:space="preserve">PT WASKITA SRIWIJAYA TOLL (WST) QQ PT SARANA MULTI INFRASTRUKTUR (PERSERO) </t>
  </si>
  <si>
    <t>HIGHWAYS / TOLL ROAD</t>
  </si>
  <si>
    <t>0708082500030</t>
  </si>
  <si>
    <t>0708082400070</t>
  </si>
  <si>
    <t>30708082400010</t>
  </si>
  <si>
    <t>0908032500017</t>
  </si>
  <si>
    <t>30908032500036</t>
  </si>
  <si>
    <t>PT. INDONESIA INTERNATIONAL EXPO AND/OR SUBSIDIARY/IES AND/OR ASSOCIATED COMPANIES AND/OR AFFILIATED COMPANIES INCLUDING THOSE ACQUIRED OR INCORPORATED DURING THE PERIOD OF INSURANCE FOR THEIR RESPECTIVE RIGHTS AND INTERESTS.</t>
  </si>
  <si>
    <t>CONVENTION HALLS AND OTHER MULTI PURPOSE BUILDINGS (BUT EXCLUDING EXHIBITION) AND/ORSALES ACTIVITIES AND/OR OPERATION ACTIVITIES AND/OR OTHER ACTIVITIES RELATED TO THE INSURED’S BUSINESS</t>
  </si>
  <si>
    <t>0908052400026</t>
  </si>
  <si>
    <t>30908052400005</t>
  </si>
  <si>
    <t>PT SWEET INDOLAMPUNG INCLUDING ANY SUBSIDIARY AND/OR RELATED COMPANY, EXISTING AT THE COMMENCEMENT OF THIS INSURANCE OR FORMED, PURCHASED OR OTHERWISE ACQUIRED DURING THE CURRENCY OF THE POLICY FOR THEIR RESPECTIVE RIGHTS AND INTEREST / IT IS ALSO NOTED A</t>
  </si>
  <si>
    <t>0908052400010</t>
  </si>
  <si>
    <t>30908052400016</t>
  </si>
  <si>
    <t>PT MIZUHO LEASING INDOENSIA TBK QQ PT SUPERKRANE MITRA UTAMA, TBK and/or associated and/or subsidiary and/or affiliated companies including those acquired or incorporated during the period of insurance for their respective rights and interests</t>
  </si>
  <si>
    <t>0908052400008</t>
  </si>
  <si>
    <t>30908052400050</t>
  </si>
  <si>
    <t>PT ORIX INDONESIA FINANCE QQ PT RIMBA PERKASA UTAMA including any subsidiary and/or related company, existing at the commencement of this insurance or formed, purchased or otherwise acquired during the currency of the policy for their respective rights a</t>
  </si>
  <si>
    <t>0908052400012</t>
  </si>
  <si>
    <t>30908052400080</t>
  </si>
  <si>
    <t>PT SMFL LEASING INDONESIA QQ PT GALA SENTOSA ABADI and/or associated  and/or subsidiary and/or affiliated companies including those acquired or incorporated during the period of insurance  for their respective rights and interests.</t>
  </si>
  <si>
    <t>1208052500001</t>
  </si>
  <si>
    <t>31208052400007</t>
  </si>
  <si>
    <t>PT. REZEKI MEMBANGUN BERSAMA</t>
  </si>
  <si>
    <t>1208052500002</t>
  </si>
  <si>
    <t>1508142400001</t>
  </si>
  <si>
    <t>31508142400001</t>
  </si>
  <si>
    <t>PT BIMA NUSA INTERNASIONAL</t>
  </si>
  <si>
    <t>MINING</t>
  </si>
  <si>
    <t>General Accident Surplus</t>
  </si>
  <si>
    <t>Claims
(Marsh Re Share)</t>
  </si>
  <si>
    <t>0709012500001</t>
  </si>
  <si>
    <t>10709012400007</t>
  </si>
  <si>
    <t>PT BANK NEGARA INDONESIA (PERSERO) TBK, being the pricipal insured and/or its subsidiary, associated, or affiliated companies and/or other compnies owned, operated, managed, or contolled by the principal insured for their res</t>
  </si>
  <si>
    <t>GENERAL ACCIDENT</t>
  </si>
  <si>
    <t>Office Building / Dwelling House / Werehouse</t>
  </si>
  <si>
    <t>0309062500001</t>
  </si>
  <si>
    <t>30309062400009</t>
  </si>
  <si>
    <t>PT SURYA DHOHO INVESTAMA QQ PT ANGKASA PURA QQ DIRJEN PERHUBUNGAN UDARA</t>
  </si>
  <si>
    <t>Marine Cargo Quota Share Surplus</t>
  </si>
  <si>
    <t>0203032300001</t>
  </si>
  <si>
    <t>10203032300078</t>
  </si>
  <si>
    <t>PT TIGA DAYA ENERGI QQ PT PLN BATU BARA</t>
  </si>
  <si>
    <t>MARINE CARGO</t>
  </si>
  <si>
    <t>1703032300001</t>
  </si>
  <si>
    <t>11703032300012</t>
  </si>
  <si>
    <t>CV. ENAM BERLIAN</t>
  </si>
  <si>
    <t>0903022300001</t>
  </si>
  <si>
    <t>30903022300014</t>
  </si>
  <si>
    <t>PT KRAKATAU STEEL</t>
  </si>
  <si>
    <t>0903032300055</t>
  </si>
  <si>
    <t>30903032300289</t>
  </si>
  <si>
    <t>BINASAWIT ABADI PRATAMA / LAMPUNGSTCPK/JAKARTA INTER ISLAND / SEPTEMBER / 2023</t>
  </si>
  <si>
    <t>0903032300056</t>
  </si>
  <si>
    <t>30903032300290</t>
  </si>
  <si>
    <t>SUMBER INDAH PERKASA/LAMPUNGPK / JAKARTA INTER ISLAND / SEPTEMBER/2023</t>
  </si>
  <si>
    <t>0903032400087</t>
  </si>
  <si>
    <t>30903032400082</t>
  </si>
  <si>
    <t>PT SUMBER UTAMA MANDIRI ABADI and/or subsidiaries and/or associated companies and/or affiliated companies of the insured and/or other for whom the insured has agreed to obtain insurance and/or other companies as nay be advise</t>
  </si>
  <si>
    <t>0903032400088</t>
  </si>
  <si>
    <t>0903032400277</t>
  </si>
  <si>
    <t>30903032400104</t>
  </si>
  <si>
    <t>BERKAT MELIMPAH BERSAMA, PT</t>
  </si>
  <si>
    <t>0703032400001</t>
  </si>
  <si>
    <t>30703032400004</t>
  </si>
  <si>
    <t>PT BIO  INTI AGRINDO</t>
  </si>
  <si>
    <t>0703082500001</t>
  </si>
  <si>
    <t>30703082500008</t>
  </si>
  <si>
    <t>PT SRIWIJAYA DISTRIBUSINDO RAYA and/or subsidiary and/or inter-related companies for their respective rights and interest</t>
  </si>
  <si>
    <t>0903022400004</t>
  </si>
  <si>
    <t>30903022400016</t>
  </si>
  <si>
    <t xml:space="preserve">PT ALCOTRAINDO BATAM QQ  YSQ INTERNASIONAL Pte Ltd and/or subsidiary/ies and/or associated companies and/or affiliated companies of the Insured and/or others for whom the Insured has agreed to obtain insurance and/or other companies as may be advised and/or their subsidiaries and/or associated companies and/or their affiliated companies and/or employees, agent, directors, officer of the Insured and/or other such persons as the Insured may elect and/or whom the Insured has agreed to insure throughout the period of this Policy and/or as may be agreed for their respective rights and interests. </t>
  </si>
  <si>
    <t>0903032500008</t>
  </si>
  <si>
    <t>30903032500001</t>
  </si>
  <si>
    <t>PT ENERGI UNGGUL PERSADA</t>
  </si>
  <si>
    <t>0903032400315</t>
  </si>
  <si>
    <t>30903032500011</t>
  </si>
  <si>
    <t>PT. Cemindo Gemilang, Tbk</t>
  </si>
  <si>
    <t>0303072500004</t>
  </si>
  <si>
    <t>10303072500023</t>
  </si>
  <si>
    <t>PT SURYA PAMENANG</t>
  </si>
  <si>
    <t>0303072500005</t>
  </si>
  <si>
    <t>Money Insurance Quota Share</t>
  </si>
  <si>
    <t>0712032500004</t>
  </si>
  <si>
    <t>30712032400029</t>
  </si>
  <si>
    <t>PT. BANK PERMATA TBK and/or subsidiary and/or affiliated and/or inter-related companies for their respective rights and interest.</t>
  </si>
  <si>
    <t>MONEY INSURANCE</t>
  </si>
  <si>
    <t>0712032500005</t>
  </si>
  <si>
    <t>0712032500002</t>
  </si>
  <si>
    <t>30712032500005</t>
  </si>
  <si>
    <t>PT GAWI  MAKMUR KALIMANTAN and/or subsidiary and/or inter-related companies for their respective rights and interst</t>
  </si>
  <si>
    <t>Fire Surplus</t>
  </si>
  <si>
    <t>Claims
(Marein Share)</t>
  </si>
  <si>
    <t>Outstanding Claims 
(Marein Share)</t>
  </si>
  <si>
    <t>Claim Quota Share
(Marein Share)</t>
  </si>
  <si>
    <t>Claim Surplus
(Marein Share)</t>
  </si>
  <si>
    <t>Money Insurance Quota Share Surplus</t>
  </si>
  <si>
    <t>0912112300076</t>
  </si>
  <si>
    <t>20912112300009</t>
  </si>
  <si>
    <t>PT USAHA GARDA ARTA dan/atau PT Bank Mandiri dan/atau PT Bank CIMB Niaga dan/atau semua pelanggan Tertanggung dan/atau Nasabah Bank dan/atau perusahaan lain yang bekerja sama dan/atau terkait antar manajemen dan/atau berafiliasi dan/atau terkait/anak perusahaan/semua pihak lain yang berkaitan dengan kepentingan bisnis Tertanggung.</t>
  </si>
  <si>
    <t>0912112300077</t>
  </si>
  <si>
    <t>0912112300084</t>
  </si>
  <si>
    <t>20912112300010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</si>
</sst>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 #,##0_-;_-* &quot;-&quot;_-;_-@_-"/>
    <numFmt numFmtId="165" formatCode="_-* #,##0.00_-;\-* #,##0.00_-;_-* &quot;-&quot;??_-;_-@_-"/>
    <numFmt numFmtId="166" formatCode="_(* #,##0_);_(* \(#,##0\);_(* &quot;-&quot;??_);_(@_)"/>
    <numFmt numFmtId="167" formatCode="_-* #,##0.00_-;\-* #,##0.00_-;_-* &quot;-&quot;_-;_-@_-"/>
  </numFmts>
  <fonts count="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s>
  <fills count="3">
    <fill>
      <patternFill patternType="none"/>
    </fill>
    <fill>
      <patternFill patternType="gray125"/>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43">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wrapText="1"/>
    </xf>
    <xf numFmtId="0" fontId="3" fillId="2" borderId="1" xfId="0" applyFont="1" applyFill="1" applyBorder="1" applyAlignment="1">
      <alignment horizontal="center" vertical="center" wrapText="1"/>
    </xf>
    <xf numFmtId="0" fontId="0" fillId="0" borderId="7" xfId="0" applyBorder="1"/>
    <xf numFmtId="0" fontId="0" fillId="0" borderId="5" xfId="0" applyBorder="1"/>
    <xf numFmtId="0" fontId="3" fillId="0" borderId="0" xfId="0" applyFont="1"/>
    <xf numFmtId="0" fontId="4" fillId="0" borderId="0" xfId="0" applyFont="1"/>
    <xf numFmtId="0" fontId="2" fillId="0" borderId="4" xfId="0" applyFont="1" applyBorder="1"/>
    <xf numFmtId="0" fontId="2" fillId="0" borderId="6" xfId="0" applyFont="1" applyBorder="1"/>
    <xf numFmtId="0" fontId="5" fillId="0" borderId="1" xfId="0" applyFont="1" applyBorder="1" applyAlignment="1">
      <alignment horizontal="center"/>
    </xf>
    <xf numFmtId="0" fontId="5" fillId="0" borderId="1" xfId="0" applyFont="1" applyBorder="1"/>
    <xf numFmtId="166" fontId="5" fillId="0" borderId="1" xfId="0" applyNumberFormat="1" applyFont="1" applyBorder="1"/>
    <xf numFmtId="0" fontId="5" fillId="0" borderId="0" xfId="0" applyFont="1"/>
    <xf numFmtId="0" fontId="0" fillId="0" borderId="0" xfId="0" applyAlignment="1">
      <alignment horizontal="center"/>
    </xf>
    <xf numFmtId="15" fontId="5" fillId="0" borderId="1" xfId="0" applyNumberFormat="1" applyFont="1" applyBorder="1" applyAlignment="1">
      <alignment horizontal="center"/>
    </xf>
    <xf numFmtId="167" fontId="0" fillId="0" borderId="0" xfId="2" applyNumberFormat="1" applyFont="1"/>
    <xf numFmtId="43" fontId="5" fillId="0" borderId="1" xfId="0" applyNumberFormat="1" applyFont="1" applyBorder="1"/>
    <xf numFmtId="165" fontId="0" fillId="0" borderId="0" xfId="0" applyNumberFormat="1"/>
    <xf numFmtId="0" fontId="5" fillId="0" borderId="0" xfId="0" applyFont="1" applyAlignment="1">
      <alignment horizontal="center"/>
    </xf>
    <xf numFmtId="165" fontId="5" fillId="0" borderId="0" xfId="1" applyNumberFormat="1" applyFont="1" applyBorder="1"/>
    <xf numFmtId="167" fontId="0" fillId="0" borderId="0" xfId="2" applyNumberFormat="1" applyFont="1" applyBorder="1"/>
    <xf numFmtId="167" fontId="5" fillId="0" borderId="0" xfId="2" applyNumberFormat="1" applyFont="1" applyBorder="1"/>
    <xf numFmtId="166" fontId="5" fillId="0" borderId="0" xfId="0" applyNumberFormat="1" applyFont="1"/>
    <xf numFmtId="166" fontId="0" fillId="0" borderId="1" xfId="0" applyNumberFormat="1" applyBorder="1"/>
    <xf numFmtId="165" fontId="5" fillId="0" borderId="1" xfId="0" applyNumberFormat="1" applyFont="1" applyBorder="1"/>
    <xf numFmtId="165" fontId="5" fillId="0" borderId="0" xfId="0" applyNumberFormat="1" applyFont="1"/>
    <xf numFmtId="43" fontId="0" fillId="0" borderId="1" xfId="0" applyNumberFormat="1" applyBorder="1"/>
    <xf numFmtId="0" fontId="5" fillId="0" borderId="1" xfId="0" applyFont="1" applyBorder="1" applyAlignment="1">
      <alignment horizontal="left"/>
    </xf>
    <xf numFmtId="49" fontId="5" fillId="0" borderId="0" xfId="0" applyNumberFormat="1" applyFont="1"/>
    <xf numFmtId="49" fontId="0" fillId="0" borderId="0" xfId="0" applyNumberFormat="1"/>
    <xf numFmtId="165" fontId="5" fillId="0" borderId="0" xfId="1" applyNumberFormat="1" applyFont="1" applyFill="1" applyBorder="1"/>
    <xf numFmtId="167" fontId="0" fillId="0" borderId="0" xfId="2" applyNumberFormat="1" applyFont="1" applyFill="1" applyBorder="1"/>
    <xf numFmtId="167" fontId="5" fillId="0" borderId="0" xfId="2" applyNumberFormat="1" applyFont="1" applyFill="1" applyBorder="1"/>
    <xf numFmtId="167" fontId="0" fillId="0" borderId="0" xfId="2" applyNumberFormat="1" applyFont="1" applyFill="1"/>
    <xf numFmtId="43" fontId="0" fillId="0" borderId="0" xfId="0" applyNumberForma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166" fontId="0" fillId="0" borderId="0" xfId="0" applyNumberFormat="1"/>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2:AB289"/>
  <sheetViews>
    <sheetView showGridLines="0" tabSelected="1" zoomScale="70" zoomScaleNormal="70" zoomScaleSheetLayoutView="70" workbookViewId="0">
      <pane xSplit="7" ySplit="10" topLeftCell="P11" activePane="bottomRight" state="frozen"/>
      <selection pane="bottomRight" activeCell="U8" sqref="P7:U8"/>
      <selection pane="bottomLeft" activeCell="A11" sqref="A11"/>
      <selection pane="topRight" activeCell="H1" sqref="H1"/>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7.7109375" customWidth="1"/>
    <col min="19" max="19" width="9.7109375" customWidth="1"/>
    <col min="20" max="20" width="17.7109375" customWidth="1"/>
    <col min="21" max="22" width="18.85546875" customWidth="1"/>
    <col min="23" max="23" width="17.7109375" bestFit="1" customWidth="1"/>
    <col min="24" max="24" width="23.28515625" bestFit="1" customWidth="1"/>
    <col min="25" max="25" width="19.85546875" customWidth="1"/>
    <col min="26" max="26" width="21" customWidth="1"/>
    <col min="27" max="27" width="18.85546875" bestFit="1" customWidth="1"/>
    <col min="28" max="28" width="6" customWidth="1"/>
  </cols>
  <sheetData>
    <row r="2" spans="2:28" ht="18">
      <c r="B2" s="8" t="s">
        <v>0</v>
      </c>
    </row>
    <row r="3" spans="2:28">
      <c r="B3" s="7" t="s">
        <v>1</v>
      </c>
      <c r="D3" s="9" t="s">
        <v>2</v>
      </c>
      <c r="E3" s="6"/>
    </row>
    <row r="4" spans="2:28">
      <c r="B4" s="7" t="s">
        <v>3</v>
      </c>
      <c r="D4" s="10" t="s">
        <v>4</v>
      </c>
      <c r="E4" s="5"/>
      <c r="U4" t="s">
        <v>5</v>
      </c>
    </row>
    <row r="5" spans="2:28">
      <c r="B5" s="7" t="s">
        <v>6</v>
      </c>
      <c r="D5" s="10" t="s">
        <v>7</v>
      </c>
      <c r="E5" s="5"/>
    </row>
    <row r="7" spans="2:28">
      <c r="X7" s="19"/>
    </row>
    <row r="8" spans="2:28">
      <c r="G8"/>
      <c r="H8"/>
      <c r="I8"/>
      <c r="J8"/>
      <c r="L8"/>
      <c r="N8"/>
      <c r="P8" s="36"/>
      <c r="W8" s="42"/>
      <c r="X8" s="42"/>
    </row>
    <row r="9" spans="2:28"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23</v>
      </c>
      <c r="W9" s="37" t="s">
        <v>24</v>
      </c>
      <c r="X9" s="37" t="s">
        <v>25</v>
      </c>
      <c r="Y9" s="37" t="s">
        <v>26</v>
      </c>
      <c r="Z9" s="37" t="s">
        <v>27</v>
      </c>
    </row>
    <row r="10" spans="2:28"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c r="Z10" s="37"/>
    </row>
    <row r="11" spans="2:28" s="14" customFormat="1">
      <c r="B11" s="11">
        <v>1</v>
      </c>
      <c r="C11" s="12" t="s">
        <v>36</v>
      </c>
      <c r="D11" s="12" t="s">
        <v>37</v>
      </c>
      <c r="E11" s="12" t="s">
        <v>38</v>
      </c>
      <c r="F11" s="29" t="s">
        <v>39</v>
      </c>
      <c r="G11" s="11">
        <v>2023</v>
      </c>
      <c r="H11" s="16">
        <v>45162</v>
      </c>
      <c r="I11" s="16">
        <v>45528</v>
      </c>
      <c r="J11" s="11">
        <v>29412</v>
      </c>
      <c r="K11" s="12" t="s">
        <v>40</v>
      </c>
      <c r="L11" s="16">
        <v>45361</v>
      </c>
      <c r="M11" s="12" t="s">
        <v>41</v>
      </c>
      <c r="N11" s="11" t="s">
        <v>42</v>
      </c>
      <c r="O11" s="25">
        <v>995244.3</v>
      </c>
      <c r="P11" s="2">
        <v>25</v>
      </c>
      <c r="Q11" s="25">
        <v>248811.07500000001</v>
      </c>
      <c r="R11" s="25">
        <v>474122.15823070798</v>
      </c>
      <c r="S11" s="25">
        <v>0</v>
      </c>
      <c r="T11" s="25">
        <v>519641</v>
      </c>
      <c r="U11" s="25">
        <v>1481.1417692920659</v>
      </c>
      <c r="V11" s="18">
        <v>0</v>
      </c>
      <c r="W11" s="13">
        <v>394927</v>
      </c>
      <c r="X11" s="13">
        <v>0</v>
      </c>
      <c r="Y11" s="13">
        <f t="shared" ref="Y11:Y42" si="0">X11*76%</f>
        <v>0</v>
      </c>
      <c r="Z11" s="13"/>
      <c r="AA11" s="31"/>
      <c r="AB11" s="27"/>
    </row>
    <row r="12" spans="2:28">
      <c r="B12" s="11">
        <v>2</v>
      </c>
      <c r="C12" s="1" t="s">
        <v>43</v>
      </c>
      <c r="D12" s="1" t="s">
        <v>37</v>
      </c>
      <c r="E12" s="1" t="s">
        <v>38</v>
      </c>
      <c r="F12" s="29" t="s">
        <v>39</v>
      </c>
      <c r="G12" s="11">
        <v>2023</v>
      </c>
      <c r="H12" s="16">
        <v>45162</v>
      </c>
      <c r="I12" s="16">
        <v>45528</v>
      </c>
      <c r="J12" s="11">
        <v>29412</v>
      </c>
      <c r="K12" s="12" t="s">
        <v>40</v>
      </c>
      <c r="L12" s="16">
        <v>45504</v>
      </c>
      <c r="M12" s="12" t="s">
        <v>41</v>
      </c>
      <c r="N12" s="11" t="s">
        <v>42</v>
      </c>
      <c r="O12" s="25">
        <v>17433180.25</v>
      </c>
      <c r="P12" s="2">
        <v>25</v>
      </c>
      <c r="Q12" s="25">
        <v>4358295.0625</v>
      </c>
      <c r="R12" s="25">
        <v>3534886.8821805199</v>
      </c>
      <c r="S12" s="25">
        <v>0</v>
      </c>
      <c r="T12" s="25">
        <v>13887247</v>
      </c>
      <c r="U12" s="25">
        <v>11046.367819480598</v>
      </c>
      <c r="V12" s="18">
        <v>0</v>
      </c>
      <c r="W12" s="13">
        <v>10554308</v>
      </c>
      <c r="X12" s="13">
        <v>0</v>
      </c>
      <c r="Y12" s="13">
        <f t="shared" si="0"/>
        <v>0</v>
      </c>
      <c r="Z12" s="13"/>
      <c r="AA12" s="31"/>
      <c r="AB12" s="27"/>
    </row>
    <row r="13" spans="2:28">
      <c r="B13" s="11">
        <v>3</v>
      </c>
      <c r="C13" s="1" t="s">
        <v>44</v>
      </c>
      <c r="D13" s="1" t="s">
        <v>45</v>
      </c>
      <c r="E13" s="1" t="s">
        <v>46</v>
      </c>
      <c r="F13" s="29" t="s">
        <v>39</v>
      </c>
      <c r="G13" s="11">
        <v>2023</v>
      </c>
      <c r="H13" s="16">
        <v>45291</v>
      </c>
      <c r="I13" s="16">
        <v>45657</v>
      </c>
      <c r="J13" s="11">
        <v>2702</v>
      </c>
      <c r="K13" s="12" t="s">
        <v>47</v>
      </c>
      <c r="L13" s="16">
        <v>45302</v>
      </c>
      <c r="M13" s="12" t="s">
        <v>41</v>
      </c>
      <c r="N13" s="11" t="s">
        <v>42</v>
      </c>
      <c r="O13" s="25">
        <v>3066153</v>
      </c>
      <c r="P13" s="2">
        <v>10</v>
      </c>
      <c r="Q13" s="25">
        <v>306615.3</v>
      </c>
      <c r="R13" s="25">
        <v>1896347.0649112901</v>
      </c>
      <c r="S13" s="25">
        <v>0</v>
      </c>
      <c r="T13" s="25">
        <v>1169806</v>
      </c>
      <c r="U13" s="25">
        <v>-6.4911290071904659E-2</v>
      </c>
      <c r="V13" s="18">
        <v>0</v>
      </c>
      <c r="W13" s="13">
        <v>889052.99999999895</v>
      </c>
      <c r="X13" s="13">
        <v>0</v>
      </c>
      <c r="Y13" s="13">
        <f t="shared" si="0"/>
        <v>0</v>
      </c>
      <c r="Z13" s="13"/>
      <c r="AA13" s="31"/>
      <c r="AB13" s="27"/>
    </row>
    <row r="14" spans="2:28">
      <c r="B14" s="11">
        <v>4</v>
      </c>
      <c r="C14" s="1" t="s">
        <v>48</v>
      </c>
      <c r="D14" s="1" t="s">
        <v>49</v>
      </c>
      <c r="E14" s="1" t="s">
        <v>50</v>
      </c>
      <c r="F14" s="29" t="s">
        <v>39</v>
      </c>
      <c r="G14" s="11">
        <v>2023</v>
      </c>
      <c r="H14" s="16">
        <v>45291</v>
      </c>
      <c r="I14" s="16">
        <v>45657</v>
      </c>
      <c r="J14" s="11">
        <v>2702</v>
      </c>
      <c r="K14" s="12" t="s">
        <v>51</v>
      </c>
      <c r="L14" s="16">
        <v>45461</v>
      </c>
      <c r="M14" s="12" t="s">
        <v>41</v>
      </c>
      <c r="N14" s="11" t="s">
        <v>42</v>
      </c>
      <c r="O14" s="25">
        <v>21488753.600000001</v>
      </c>
      <c r="P14" s="2">
        <v>10</v>
      </c>
      <c r="Q14" s="25">
        <v>2148875.3600000003</v>
      </c>
      <c r="R14" s="25">
        <v>7166284.70329546</v>
      </c>
      <c r="S14" s="25">
        <v>0</v>
      </c>
      <c r="T14" s="25">
        <v>11130716</v>
      </c>
      <c r="U14" s="25">
        <v>3191752.8967045415</v>
      </c>
      <c r="V14" s="18">
        <v>0</v>
      </c>
      <c r="W14" s="13">
        <v>8459345</v>
      </c>
      <c r="X14" s="13">
        <v>0</v>
      </c>
      <c r="Y14" s="13">
        <f t="shared" si="0"/>
        <v>0</v>
      </c>
      <c r="Z14" s="13"/>
      <c r="AA14" s="31"/>
      <c r="AB14" s="27"/>
    </row>
    <row r="15" spans="2:28">
      <c r="B15" s="11">
        <v>5</v>
      </c>
      <c r="C15" s="1" t="s">
        <v>52</v>
      </c>
      <c r="D15" s="1" t="s">
        <v>49</v>
      </c>
      <c r="E15" s="1" t="s">
        <v>50</v>
      </c>
      <c r="F15" s="29" t="s">
        <v>39</v>
      </c>
      <c r="G15" s="11">
        <v>2023</v>
      </c>
      <c r="H15" s="16">
        <v>45291</v>
      </c>
      <c r="I15" s="16">
        <v>45657</v>
      </c>
      <c r="J15" s="11">
        <v>2702</v>
      </c>
      <c r="K15" s="12" t="s">
        <v>51</v>
      </c>
      <c r="L15" s="16">
        <v>45604</v>
      </c>
      <c r="M15" s="12" t="s">
        <v>41</v>
      </c>
      <c r="N15" s="11" t="s">
        <v>42</v>
      </c>
      <c r="O15" s="25">
        <v>21488753.600000001</v>
      </c>
      <c r="P15" s="2">
        <v>10</v>
      </c>
      <c r="Q15" s="25">
        <v>2148875.3600000003</v>
      </c>
      <c r="R15" s="25">
        <v>7166284.70329546</v>
      </c>
      <c r="S15" s="25">
        <v>0</v>
      </c>
      <c r="T15" s="25">
        <v>3191752</v>
      </c>
      <c r="U15" s="25">
        <v>11130716.896704542</v>
      </c>
      <c r="V15" s="18">
        <v>0</v>
      </c>
      <c r="W15" s="13">
        <v>2425732</v>
      </c>
      <c r="X15" s="13">
        <v>0</v>
      </c>
      <c r="Y15" s="13">
        <f t="shared" si="0"/>
        <v>0</v>
      </c>
      <c r="Z15" s="13"/>
      <c r="AA15" s="31"/>
      <c r="AB15" s="27"/>
    </row>
    <row r="16" spans="2:28">
      <c r="B16" s="11">
        <v>6</v>
      </c>
      <c r="C16" s="1" t="s">
        <v>53</v>
      </c>
      <c r="D16" s="1" t="s">
        <v>54</v>
      </c>
      <c r="E16" s="1" t="s">
        <v>55</v>
      </c>
      <c r="F16" s="29" t="s">
        <v>39</v>
      </c>
      <c r="G16" s="11">
        <v>2023</v>
      </c>
      <c r="H16" s="16">
        <v>45291</v>
      </c>
      <c r="I16" s="16">
        <v>45657</v>
      </c>
      <c r="J16" s="11">
        <v>2702</v>
      </c>
      <c r="K16" s="12" t="s">
        <v>51</v>
      </c>
      <c r="L16" s="16">
        <v>45359</v>
      </c>
      <c r="M16" s="12" t="s">
        <v>41</v>
      </c>
      <c r="N16" s="11" t="s">
        <v>42</v>
      </c>
      <c r="O16" s="25">
        <v>1718189.5</v>
      </c>
      <c r="P16" s="2">
        <v>10</v>
      </c>
      <c r="Q16" s="25">
        <v>171818.95</v>
      </c>
      <c r="R16" s="25">
        <v>751463.83705769305</v>
      </c>
      <c r="S16" s="25">
        <v>0</v>
      </c>
      <c r="T16" s="25">
        <v>966727</v>
      </c>
      <c r="U16" s="25">
        <v>-1.3370576930465177</v>
      </c>
      <c r="V16" s="18">
        <v>0</v>
      </c>
      <c r="W16" s="13">
        <v>734712</v>
      </c>
      <c r="X16" s="13">
        <v>0</v>
      </c>
      <c r="Y16" s="13">
        <f t="shared" si="0"/>
        <v>0</v>
      </c>
      <c r="Z16" s="13"/>
      <c r="AA16" s="31"/>
      <c r="AB16" s="27"/>
    </row>
    <row r="17" spans="2:28">
      <c r="B17" s="11">
        <v>7</v>
      </c>
      <c r="C17" s="1" t="s">
        <v>56</v>
      </c>
      <c r="D17" s="1" t="s">
        <v>57</v>
      </c>
      <c r="E17" s="1" t="s">
        <v>58</v>
      </c>
      <c r="F17" s="29" t="s">
        <v>39</v>
      </c>
      <c r="G17" s="11">
        <v>2023</v>
      </c>
      <c r="H17" s="16">
        <v>45194</v>
      </c>
      <c r="I17" s="16">
        <v>45560</v>
      </c>
      <c r="J17" s="11">
        <v>2522</v>
      </c>
      <c r="K17" s="12" t="s">
        <v>59</v>
      </c>
      <c r="L17" s="16">
        <v>45213</v>
      </c>
      <c r="M17" s="12" t="s">
        <v>41</v>
      </c>
      <c r="N17" s="11" t="s">
        <v>42</v>
      </c>
      <c r="O17" s="25">
        <v>1664072990.0999999</v>
      </c>
      <c r="P17" s="2">
        <v>5</v>
      </c>
      <c r="Q17" s="25">
        <v>83203649.504999995</v>
      </c>
      <c r="R17" s="25">
        <v>945607322.96424496</v>
      </c>
      <c r="S17" s="25">
        <v>0</v>
      </c>
      <c r="T17" s="25">
        <v>717677660</v>
      </c>
      <c r="U17" s="25">
        <v>788007.13575494289</v>
      </c>
      <c r="V17" s="18">
        <v>0</v>
      </c>
      <c r="W17" s="13">
        <v>545435022</v>
      </c>
      <c r="X17" s="13">
        <v>939635925.54999995</v>
      </c>
      <c r="Y17" s="13">
        <f t="shared" si="0"/>
        <v>714123303.41799998</v>
      </c>
      <c r="Z17" s="13"/>
      <c r="AA17" s="31"/>
      <c r="AB17" s="27"/>
    </row>
    <row r="18" spans="2:28">
      <c r="B18" s="11">
        <v>8</v>
      </c>
      <c r="C18" s="1" t="s">
        <v>56</v>
      </c>
      <c r="D18" s="1" t="s">
        <v>57</v>
      </c>
      <c r="E18" s="1" t="s">
        <v>58</v>
      </c>
      <c r="F18" s="29" t="s">
        <v>39</v>
      </c>
      <c r="G18" s="11">
        <v>2023</v>
      </c>
      <c r="H18" s="16">
        <v>45194</v>
      </c>
      <c r="I18" s="16">
        <v>45560</v>
      </c>
      <c r="J18" s="11">
        <v>2522</v>
      </c>
      <c r="K18" s="12" t="s">
        <v>59</v>
      </c>
      <c r="L18" s="16">
        <v>45213</v>
      </c>
      <c r="M18" s="12" t="s">
        <v>41</v>
      </c>
      <c r="N18" s="11" t="s">
        <v>60</v>
      </c>
      <c r="O18" s="28">
        <v>408.55</v>
      </c>
      <c r="P18" s="2">
        <v>5</v>
      </c>
      <c r="Q18" s="25">
        <v>20.427500000000002</v>
      </c>
      <c r="R18" s="25">
        <v>316.22000000000003</v>
      </c>
      <c r="S18" s="25">
        <v>0</v>
      </c>
      <c r="T18" s="25">
        <v>127.41</v>
      </c>
      <c r="U18" s="25">
        <v>-35.080000000000013</v>
      </c>
      <c r="V18" s="18">
        <v>0</v>
      </c>
      <c r="W18" s="13">
        <v>96.829999999999899</v>
      </c>
      <c r="X18" s="13">
        <v>939635925.54999995</v>
      </c>
      <c r="Y18" s="13">
        <f t="shared" si="0"/>
        <v>714123303.41799998</v>
      </c>
      <c r="Z18" s="13"/>
      <c r="AA18" s="31"/>
      <c r="AB18" s="27"/>
    </row>
    <row r="19" spans="2:28">
      <c r="B19" s="11">
        <v>9</v>
      </c>
      <c r="C19" s="1" t="s">
        <v>61</v>
      </c>
      <c r="D19" s="1" t="s">
        <v>62</v>
      </c>
      <c r="E19" s="1" t="s">
        <v>63</v>
      </c>
      <c r="F19" s="29" t="s">
        <v>39</v>
      </c>
      <c r="G19" s="11">
        <v>2023</v>
      </c>
      <c r="H19" s="16">
        <v>45194</v>
      </c>
      <c r="I19" s="16">
        <v>45560</v>
      </c>
      <c r="J19" s="11">
        <v>2522</v>
      </c>
      <c r="K19" s="12" t="s">
        <v>64</v>
      </c>
      <c r="L19" s="16">
        <v>45213</v>
      </c>
      <c r="M19" s="12" t="s">
        <v>41</v>
      </c>
      <c r="N19" s="11" t="s">
        <v>42</v>
      </c>
      <c r="O19" s="28">
        <v>114485395.2</v>
      </c>
      <c r="P19" s="2">
        <v>5</v>
      </c>
      <c r="Q19" s="25">
        <v>5724269.7600000007</v>
      </c>
      <c r="R19" s="28">
        <v>65056177.654244699</v>
      </c>
      <c r="S19" s="28">
        <v>0</v>
      </c>
      <c r="T19" s="28">
        <v>49375004</v>
      </c>
      <c r="U19" s="25">
        <v>54213.545755304396</v>
      </c>
      <c r="V19" s="18">
        <v>0</v>
      </c>
      <c r="W19" s="18">
        <v>37525003</v>
      </c>
      <c r="X19" s="13">
        <v>19923786.949999999</v>
      </c>
      <c r="Y19" s="13">
        <f t="shared" si="0"/>
        <v>15142078.082</v>
      </c>
      <c r="Z19" s="13"/>
      <c r="AA19" s="31"/>
      <c r="AB19" s="27"/>
    </row>
    <row r="20" spans="2:28">
      <c r="B20" s="11">
        <v>10</v>
      </c>
      <c r="C20" s="1" t="s">
        <v>65</v>
      </c>
      <c r="D20" s="1" t="s">
        <v>66</v>
      </c>
      <c r="E20" s="1" t="s">
        <v>67</v>
      </c>
      <c r="F20" s="29" t="s">
        <v>39</v>
      </c>
      <c r="G20" s="11">
        <v>2023</v>
      </c>
      <c r="H20" s="16">
        <v>45164</v>
      </c>
      <c r="I20" s="16">
        <v>45530</v>
      </c>
      <c r="J20" s="11">
        <v>2423</v>
      </c>
      <c r="K20" s="12" t="s">
        <v>68</v>
      </c>
      <c r="L20" s="16">
        <v>45332</v>
      </c>
      <c r="M20" s="12" t="s">
        <v>41</v>
      </c>
      <c r="N20" s="11" t="s">
        <v>60</v>
      </c>
      <c r="O20" s="28">
        <v>253.75</v>
      </c>
      <c r="P20" s="2">
        <v>12.5</v>
      </c>
      <c r="Q20" s="25">
        <v>31.71875</v>
      </c>
      <c r="R20" s="28">
        <v>103.49</v>
      </c>
      <c r="S20" s="28">
        <v>0</v>
      </c>
      <c r="T20" s="28">
        <v>149.96</v>
      </c>
      <c r="U20" s="25">
        <v>0.29999999999998295</v>
      </c>
      <c r="V20" s="18">
        <v>0</v>
      </c>
      <c r="W20" s="18">
        <v>113.97</v>
      </c>
      <c r="X20" s="13">
        <v>0</v>
      </c>
      <c r="Y20" s="13">
        <f t="shared" si="0"/>
        <v>0</v>
      </c>
      <c r="Z20" s="13"/>
      <c r="AA20" s="31"/>
      <c r="AB20" s="27"/>
    </row>
    <row r="21" spans="2:28">
      <c r="B21" s="11">
        <v>11</v>
      </c>
      <c r="C21" s="1" t="s">
        <v>69</v>
      </c>
      <c r="D21" s="1" t="s">
        <v>70</v>
      </c>
      <c r="E21" s="1" t="s">
        <v>71</v>
      </c>
      <c r="F21" s="29" t="s">
        <v>39</v>
      </c>
      <c r="G21" s="11">
        <v>2023</v>
      </c>
      <c r="H21" s="16">
        <v>45107</v>
      </c>
      <c r="I21" s="16">
        <v>45473</v>
      </c>
      <c r="J21" s="11">
        <v>23004</v>
      </c>
      <c r="K21" s="12" t="s">
        <v>72</v>
      </c>
      <c r="L21" s="16">
        <v>45223</v>
      </c>
      <c r="M21" s="12" t="s">
        <v>41</v>
      </c>
      <c r="N21" s="11" t="s">
        <v>42</v>
      </c>
      <c r="O21" s="25">
        <v>1073370</v>
      </c>
      <c r="P21" s="2">
        <v>5</v>
      </c>
      <c r="Q21" s="25">
        <v>53668.5</v>
      </c>
      <c r="R21" s="25">
        <v>916251.17211413104</v>
      </c>
      <c r="S21" s="25">
        <v>0</v>
      </c>
      <c r="T21" s="25">
        <v>156355</v>
      </c>
      <c r="U21" s="25">
        <v>763.82788586895913</v>
      </c>
      <c r="V21" s="18">
        <v>0</v>
      </c>
      <c r="W21" s="13">
        <v>118830</v>
      </c>
      <c r="X21" s="13">
        <v>0</v>
      </c>
      <c r="Y21" s="13">
        <f t="shared" si="0"/>
        <v>0</v>
      </c>
      <c r="Z21" s="13"/>
      <c r="AA21" s="31"/>
      <c r="AB21" s="27"/>
    </row>
    <row r="22" spans="2:28">
      <c r="B22" s="11">
        <v>12</v>
      </c>
      <c r="C22" s="1" t="s">
        <v>73</v>
      </c>
      <c r="D22" s="1" t="s">
        <v>74</v>
      </c>
      <c r="E22" s="1" t="s">
        <v>75</v>
      </c>
      <c r="F22" s="29" t="s">
        <v>39</v>
      </c>
      <c r="G22" s="11">
        <v>2023</v>
      </c>
      <c r="H22" s="16">
        <v>45260</v>
      </c>
      <c r="I22" s="16">
        <v>45626</v>
      </c>
      <c r="J22" s="11">
        <v>29412</v>
      </c>
      <c r="K22" s="12" t="s">
        <v>76</v>
      </c>
      <c r="L22" s="16">
        <v>45474</v>
      </c>
      <c r="M22" s="12" t="s">
        <v>41</v>
      </c>
      <c r="N22" s="11" t="s">
        <v>42</v>
      </c>
      <c r="O22" s="28">
        <v>1962859</v>
      </c>
      <c r="P22" s="2">
        <v>5</v>
      </c>
      <c r="Q22" s="25">
        <v>98142.950000000012</v>
      </c>
      <c r="R22" s="28">
        <v>547621.77996837895</v>
      </c>
      <c r="S22" s="28">
        <v>0</v>
      </c>
      <c r="T22" s="28">
        <v>1414781</v>
      </c>
      <c r="U22" s="25">
        <v>456.22003162093461</v>
      </c>
      <c r="V22" s="18">
        <v>0</v>
      </c>
      <c r="W22" s="18">
        <v>1075233</v>
      </c>
      <c r="X22" s="13">
        <v>0</v>
      </c>
      <c r="Y22" s="13">
        <f t="shared" si="0"/>
        <v>0</v>
      </c>
      <c r="Z22" s="13"/>
      <c r="AA22" s="31"/>
      <c r="AB22" s="27"/>
    </row>
    <row r="23" spans="2:28">
      <c r="B23" s="11">
        <v>13</v>
      </c>
      <c r="C23" s="1" t="s">
        <v>77</v>
      </c>
      <c r="D23" s="1" t="s">
        <v>78</v>
      </c>
      <c r="E23" s="1" t="s">
        <v>79</v>
      </c>
      <c r="F23" s="29" t="s">
        <v>39</v>
      </c>
      <c r="G23" s="11">
        <v>2023</v>
      </c>
      <c r="H23" s="16">
        <v>45230</v>
      </c>
      <c r="I23" s="16">
        <v>45596</v>
      </c>
      <c r="J23" s="11">
        <v>2761</v>
      </c>
      <c r="K23" s="12" t="s">
        <v>80</v>
      </c>
      <c r="L23" s="16">
        <v>45401</v>
      </c>
      <c r="M23" s="12" t="s">
        <v>41</v>
      </c>
      <c r="N23" s="11" t="s">
        <v>42</v>
      </c>
      <c r="O23" s="25">
        <v>637797.326</v>
      </c>
      <c r="P23" s="2">
        <v>10</v>
      </c>
      <c r="Q23" s="25">
        <v>63779.732600000003</v>
      </c>
      <c r="R23" s="25">
        <v>86059.202578890501</v>
      </c>
      <c r="S23" s="25">
        <v>0</v>
      </c>
      <c r="T23" s="25">
        <v>551634</v>
      </c>
      <c r="U23" s="25">
        <v>104.12342110951431</v>
      </c>
      <c r="V23" s="18">
        <v>0</v>
      </c>
      <c r="W23" s="13">
        <v>419241</v>
      </c>
      <c r="X23" s="13">
        <v>0</v>
      </c>
      <c r="Y23" s="13">
        <f t="shared" si="0"/>
        <v>0</v>
      </c>
      <c r="Z23" s="13"/>
      <c r="AA23" s="31"/>
      <c r="AB23" s="27"/>
    </row>
    <row r="24" spans="2:28">
      <c r="B24" s="11">
        <v>14</v>
      </c>
      <c r="C24" s="1" t="s">
        <v>81</v>
      </c>
      <c r="D24" s="1" t="s">
        <v>82</v>
      </c>
      <c r="E24" s="1" t="s">
        <v>83</v>
      </c>
      <c r="F24" s="29" t="s">
        <v>39</v>
      </c>
      <c r="G24" s="11">
        <v>2023</v>
      </c>
      <c r="H24" s="16">
        <v>45291</v>
      </c>
      <c r="I24" s="16">
        <v>45657</v>
      </c>
      <c r="J24" s="11">
        <v>2971</v>
      </c>
      <c r="K24" s="12" t="s">
        <v>84</v>
      </c>
      <c r="L24" s="16">
        <v>45456</v>
      </c>
      <c r="M24" s="12" t="s">
        <v>41</v>
      </c>
      <c r="N24" s="11" t="s">
        <v>42</v>
      </c>
      <c r="O24" s="25">
        <v>1055172.55</v>
      </c>
      <c r="P24" s="2">
        <v>5</v>
      </c>
      <c r="Q24" s="25">
        <v>52758.627500000002</v>
      </c>
      <c r="R24" s="25">
        <v>987169.15214652801</v>
      </c>
      <c r="S24" s="25">
        <v>0</v>
      </c>
      <c r="T24" s="25">
        <v>25364</v>
      </c>
      <c r="U24" s="25">
        <v>42639.397853472037</v>
      </c>
      <c r="V24" s="18">
        <v>0</v>
      </c>
      <c r="W24" s="13">
        <v>19277</v>
      </c>
      <c r="X24" s="13">
        <v>0</v>
      </c>
      <c r="Y24" s="13">
        <f t="shared" si="0"/>
        <v>0</v>
      </c>
      <c r="Z24" s="13"/>
      <c r="AA24" s="31"/>
      <c r="AB24" s="27"/>
    </row>
    <row r="25" spans="2:28">
      <c r="B25" s="11">
        <v>15</v>
      </c>
      <c r="C25" s="1" t="s">
        <v>85</v>
      </c>
      <c r="D25" s="1" t="s">
        <v>82</v>
      </c>
      <c r="E25" s="1" t="s">
        <v>83</v>
      </c>
      <c r="F25" s="29" t="s">
        <v>39</v>
      </c>
      <c r="G25" s="11">
        <v>2023</v>
      </c>
      <c r="H25" s="16">
        <v>45291</v>
      </c>
      <c r="I25" s="16">
        <v>45657</v>
      </c>
      <c r="J25" s="11">
        <v>2971</v>
      </c>
      <c r="K25" s="12" t="s">
        <v>84</v>
      </c>
      <c r="L25" s="16">
        <v>45440</v>
      </c>
      <c r="M25" s="12" t="s">
        <v>41</v>
      </c>
      <c r="N25" s="11" t="s">
        <v>42</v>
      </c>
      <c r="O25" s="25">
        <v>1055172.55</v>
      </c>
      <c r="P25" s="2">
        <v>5</v>
      </c>
      <c r="Q25" s="25">
        <v>52758.627500000002</v>
      </c>
      <c r="R25" s="25">
        <v>987169.15214652801</v>
      </c>
      <c r="S25" s="25">
        <v>0</v>
      </c>
      <c r="T25" s="25">
        <v>42392</v>
      </c>
      <c r="U25" s="25">
        <v>25611.397853472037</v>
      </c>
      <c r="V25" s="18">
        <v>0</v>
      </c>
      <c r="W25" s="13">
        <v>32218</v>
      </c>
      <c r="X25" s="13">
        <v>0</v>
      </c>
      <c r="Y25" s="13">
        <f t="shared" si="0"/>
        <v>0</v>
      </c>
      <c r="Z25" s="13"/>
      <c r="AA25" s="31"/>
      <c r="AB25" s="27"/>
    </row>
    <row r="26" spans="2:28">
      <c r="B26" s="11">
        <v>16</v>
      </c>
      <c r="C26" s="1" t="s">
        <v>86</v>
      </c>
      <c r="D26" s="1" t="s">
        <v>87</v>
      </c>
      <c r="E26" s="1" t="s">
        <v>88</v>
      </c>
      <c r="F26" s="29" t="s">
        <v>39</v>
      </c>
      <c r="G26" s="11">
        <v>2023</v>
      </c>
      <c r="H26" s="16">
        <v>45199</v>
      </c>
      <c r="I26" s="16">
        <v>45657</v>
      </c>
      <c r="J26" s="11">
        <v>2702</v>
      </c>
      <c r="K26" s="12" t="s">
        <v>51</v>
      </c>
      <c r="L26" s="16">
        <v>45490</v>
      </c>
      <c r="M26" s="12" t="s">
        <v>41</v>
      </c>
      <c r="N26" s="11" t="s">
        <v>42</v>
      </c>
      <c r="O26" s="25">
        <v>23224666</v>
      </c>
      <c r="P26" s="2">
        <v>10</v>
      </c>
      <c r="Q26" s="25">
        <v>2322466.6</v>
      </c>
      <c r="R26" s="25">
        <v>6709547.1799114197</v>
      </c>
      <c r="S26" s="25">
        <v>0</v>
      </c>
      <c r="T26" s="25">
        <v>16503937</v>
      </c>
      <c r="U26" s="25">
        <v>11181.820088580251</v>
      </c>
      <c r="V26" s="18">
        <v>0</v>
      </c>
      <c r="W26" s="13">
        <v>12542992</v>
      </c>
      <c r="X26" s="13">
        <v>3350147801.9050002</v>
      </c>
      <c r="Y26" s="13">
        <f t="shared" si="0"/>
        <v>2546112329.4478002</v>
      </c>
      <c r="Z26" s="13"/>
      <c r="AA26" s="31"/>
      <c r="AB26" s="27"/>
    </row>
    <row r="27" spans="2:28">
      <c r="B27" s="11">
        <v>17</v>
      </c>
      <c r="C27" s="1" t="s">
        <v>89</v>
      </c>
      <c r="D27" s="1" t="s">
        <v>90</v>
      </c>
      <c r="E27" s="1" t="s">
        <v>91</v>
      </c>
      <c r="F27" s="29" t="s">
        <v>39</v>
      </c>
      <c r="G27" s="11">
        <v>2023</v>
      </c>
      <c r="H27" s="16">
        <v>45291</v>
      </c>
      <c r="I27" s="16">
        <v>45657</v>
      </c>
      <c r="J27" s="11">
        <v>2943</v>
      </c>
      <c r="K27" s="12" t="s">
        <v>92</v>
      </c>
      <c r="L27" s="16">
        <v>45409</v>
      </c>
      <c r="M27" s="12" t="s">
        <v>41</v>
      </c>
      <c r="N27" s="11" t="s">
        <v>42</v>
      </c>
      <c r="O27" s="25">
        <v>552333.30000000005</v>
      </c>
      <c r="P27" s="2">
        <v>10</v>
      </c>
      <c r="Q27" s="25">
        <v>55233.330000000009</v>
      </c>
      <c r="R27" s="25">
        <v>147946.41964285701</v>
      </c>
      <c r="S27" s="25">
        <v>0</v>
      </c>
      <c r="T27" s="25">
        <v>354824</v>
      </c>
      <c r="U27" s="25">
        <v>49562.880357143003</v>
      </c>
      <c r="V27" s="18">
        <v>0</v>
      </c>
      <c r="W27" s="13">
        <v>269667</v>
      </c>
      <c r="X27" s="13">
        <v>0</v>
      </c>
      <c r="Y27" s="13">
        <f t="shared" si="0"/>
        <v>0</v>
      </c>
      <c r="Z27" s="13"/>
      <c r="AA27" s="31"/>
      <c r="AB27" s="27"/>
    </row>
    <row r="28" spans="2:28">
      <c r="B28" s="11">
        <v>18</v>
      </c>
      <c r="C28" s="1" t="s">
        <v>93</v>
      </c>
      <c r="D28" s="1" t="s">
        <v>94</v>
      </c>
      <c r="E28" s="1" t="s">
        <v>95</v>
      </c>
      <c r="F28" s="29" t="s">
        <v>39</v>
      </c>
      <c r="G28" s="11">
        <v>2023</v>
      </c>
      <c r="H28" s="16">
        <v>45291</v>
      </c>
      <c r="I28" s="16">
        <v>45657</v>
      </c>
      <c r="J28" s="11">
        <v>2975</v>
      </c>
      <c r="K28" s="12" t="s">
        <v>96</v>
      </c>
      <c r="L28" s="16">
        <v>45409</v>
      </c>
      <c r="M28" s="12" t="s">
        <v>41</v>
      </c>
      <c r="N28" s="11" t="s">
        <v>42</v>
      </c>
      <c r="O28" s="28">
        <v>28786821.899999999</v>
      </c>
      <c r="P28" s="2">
        <v>10</v>
      </c>
      <c r="Q28" s="25">
        <v>2878682.19</v>
      </c>
      <c r="R28" s="28">
        <v>6908837.2560000001</v>
      </c>
      <c r="S28" s="28">
        <v>0</v>
      </c>
      <c r="T28" s="28">
        <v>19563523</v>
      </c>
      <c r="U28" s="25">
        <v>2314461.6439999975</v>
      </c>
      <c r="V28" s="18">
        <v>0</v>
      </c>
      <c r="W28" s="18">
        <v>14868278</v>
      </c>
      <c r="X28" s="13">
        <v>0</v>
      </c>
      <c r="Y28" s="13">
        <f t="shared" si="0"/>
        <v>0</v>
      </c>
      <c r="Z28" s="13"/>
      <c r="AA28" s="31"/>
      <c r="AB28" s="27"/>
    </row>
    <row r="29" spans="2:28">
      <c r="B29" s="11">
        <v>19</v>
      </c>
      <c r="C29" s="1" t="s">
        <v>97</v>
      </c>
      <c r="D29" s="1" t="s">
        <v>98</v>
      </c>
      <c r="E29" s="1" t="s">
        <v>99</v>
      </c>
      <c r="F29" s="29" t="s">
        <v>39</v>
      </c>
      <c r="G29" s="11">
        <v>2023</v>
      </c>
      <c r="H29" s="16">
        <v>45291</v>
      </c>
      <c r="I29" s="16">
        <v>45657</v>
      </c>
      <c r="J29" s="11">
        <v>2975</v>
      </c>
      <c r="K29" s="12" t="s">
        <v>100</v>
      </c>
      <c r="L29" s="16">
        <v>45409</v>
      </c>
      <c r="M29" s="12" t="s">
        <v>41</v>
      </c>
      <c r="N29" s="11" t="s">
        <v>42</v>
      </c>
      <c r="O29" s="28">
        <v>7644583.7999999998</v>
      </c>
      <c r="P29" s="2">
        <v>10</v>
      </c>
      <c r="Q29" s="25">
        <v>764458.38</v>
      </c>
      <c r="R29" s="28">
        <v>3520146.0322333002</v>
      </c>
      <c r="S29" s="28">
        <v>0</v>
      </c>
      <c r="T29" s="28">
        <v>3354111</v>
      </c>
      <c r="U29" s="25">
        <v>770326.76776669966</v>
      </c>
      <c r="V29" s="18">
        <v>0</v>
      </c>
      <c r="W29" s="18">
        <v>2549125</v>
      </c>
      <c r="X29" s="13">
        <v>0</v>
      </c>
      <c r="Y29" s="13">
        <f t="shared" si="0"/>
        <v>0</v>
      </c>
      <c r="Z29" s="13"/>
      <c r="AA29" s="31"/>
      <c r="AB29" s="27"/>
    </row>
    <row r="30" spans="2:28">
      <c r="B30" s="11">
        <v>20</v>
      </c>
      <c r="C30" s="1" t="s">
        <v>101</v>
      </c>
      <c r="D30" s="1" t="s">
        <v>102</v>
      </c>
      <c r="E30" s="1" t="s">
        <v>103</v>
      </c>
      <c r="F30" s="29" t="s">
        <v>39</v>
      </c>
      <c r="G30" s="11">
        <v>2023</v>
      </c>
      <c r="H30" s="16">
        <v>45016</v>
      </c>
      <c r="I30" s="16">
        <v>45382</v>
      </c>
      <c r="J30" s="11">
        <v>28111</v>
      </c>
      <c r="K30" s="12" t="s">
        <v>104</v>
      </c>
      <c r="L30" s="16">
        <v>45030</v>
      </c>
      <c r="M30" s="12" t="s">
        <v>41</v>
      </c>
      <c r="N30" s="11" t="s">
        <v>60</v>
      </c>
      <c r="O30" s="28">
        <v>566220.16</v>
      </c>
      <c r="P30" s="2">
        <v>5</v>
      </c>
      <c r="Q30" s="25">
        <v>28311.008000000002</v>
      </c>
      <c r="R30" s="25">
        <v>6679.99</v>
      </c>
      <c r="S30" s="25">
        <v>0</v>
      </c>
      <c r="T30" s="25">
        <v>50699.6</v>
      </c>
      <c r="U30" s="25">
        <v>508840.57000000007</v>
      </c>
      <c r="V30" s="18">
        <v>0</v>
      </c>
      <c r="W30" s="13">
        <v>38531.699999999997</v>
      </c>
      <c r="X30" s="13">
        <v>1281019610.5125</v>
      </c>
      <c r="Y30" s="13">
        <f t="shared" si="0"/>
        <v>973574903.98950005</v>
      </c>
      <c r="Z30" s="13"/>
      <c r="AA30" s="31"/>
      <c r="AB30" s="27"/>
    </row>
    <row r="31" spans="2:28">
      <c r="B31" s="11">
        <v>21</v>
      </c>
      <c r="C31" s="1" t="s">
        <v>105</v>
      </c>
      <c r="D31" s="1" t="s">
        <v>106</v>
      </c>
      <c r="E31" s="1" t="s">
        <v>107</v>
      </c>
      <c r="F31" s="29" t="s">
        <v>39</v>
      </c>
      <c r="G31" s="11">
        <v>2023</v>
      </c>
      <c r="H31" s="16">
        <v>45138</v>
      </c>
      <c r="I31" s="16">
        <v>45504</v>
      </c>
      <c r="J31" s="11">
        <v>2734</v>
      </c>
      <c r="K31" s="12" t="s">
        <v>108</v>
      </c>
      <c r="L31" s="16">
        <v>45364</v>
      </c>
      <c r="M31" s="12" t="s">
        <v>41</v>
      </c>
      <c r="N31" s="11" t="s">
        <v>42</v>
      </c>
      <c r="O31" s="28">
        <v>166635201.40000001</v>
      </c>
      <c r="P31" s="2">
        <v>10</v>
      </c>
      <c r="Q31" s="25">
        <v>16663520.140000001</v>
      </c>
      <c r="R31" s="28">
        <v>86578017.5840794</v>
      </c>
      <c r="S31" s="28">
        <v>0</v>
      </c>
      <c r="T31" s="28">
        <v>79912887</v>
      </c>
      <c r="U31" s="25">
        <v>144296.81592060626</v>
      </c>
      <c r="V31" s="18">
        <v>0</v>
      </c>
      <c r="W31" s="18">
        <v>60733794</v>
      </c>
      <c r="X31" s="13">
        <v>0</v>
      </c>
      <c r="Y31" s="13">
        <f t="shared" si="0"/>
        <v>0</v>
      </c>
      <c r="Z31" s="13"/>
      <c r="AA31" s="31"/>
      <c r="AB31" s="27"/>
    </row>
    <row r="32" spans="2:28">
      <c r="B32" s="11">
        <v>22</v>
      </c>
      <c r="C32" s="1" t="s">
        <v>105</v>
      </c>
      <c r="D32" s="1" t="s">
        <v>106</v>
      </c>
      <c r="E32" s="1" t="s">
        <v>107</v>
      </c>
      <c r="F32" s="29" t="s">
        <v>39</v>
      </c>
      <c r="G32" s="11">
        <v>2023</v>
      </c>
      <c r="H32" s="16">
        <v>45138</v>
      </c>
      <c r="I32" s="16">
        <v>45504</v>
      </c>
      <c r="J32" s="11">
        <v>2734</v>
      </c>
      <c r="K32" s="12" t="s">
        <v>108</v>
      </c>
      <c r="L32" s="16">
        <v>45364</v>
      </c>
      <c r="M32" s="12" t="s">
        <v>41</v>
      </c>
      <c r="N32" s="11" t="s">
        <v>60</v>
      </c>
      <c r="O32" s="28">
        <v>803.15700000000004</v>
      </c>
      <c r="P32" s="2">
        <v>10</v>
      </c>
      <c r="Q32" s="25">
        <v>80.315700000000007</v>
      </c>
      <c r="R32" s="25">
        <v>417.29</v>
      </c>
      <c r="S32" s="25">
        <v>0</v>
      </c>
      <c r="T32" s="25">
        <v>385.16</v>
      </c>
      <c r="U32" s="25">
        <v>0.70699999999999363</v>
      </c>
      <c r="V32" s="18">
        <v>0</v>
      </c>
      <c r="W32" s="13">
        <v>292.73</v>
      </c>
      <c r="X32" s="13">
        <v>0</v>
      </c>
      <c r="Y32" s="13">
        <f t="shared" si="0"/>
        <v>0</v>
      </c>
      <c r="Z32" s="13"/>
      <c r="AA32" s="31"/>
      <c r="AB32" s="27"/>
    </row>
    <row r="33" spans="2:28">
      <c r="B33" s="11">
        <v>23</v>
      </c>
      <c r="C33" s="1" t="s">
        <v>109</v>
      </c>
      <c r="D33" s="1" t="s">
        <v>110</v>
      </c>
      <c r="E33" s="1" t="s">
        <v>111</v>
      </c>
      <c r="F33" s="29" t="s">
        <v>39</v>
      </c>
      <c r="G33" s="11">
        <v>2023</v>
      </c>
      <c r="H33" s="16">
        <v>45230</v>
      </c>
      <c r="I33" s="16">
        <v>45596</v>
      </c>
      <c r="J33" s="11">
        <v>2976</v>
      </c>
      <c r="K33" s="12" t="s">
        <v>112</v>
      </c>
      <c r="L33" s="16">
        <v>45325</v>
      </c>
      <c r="M33" s="12" t="s">
        <v>41</v>
      </c>
      <c r="N33" s="11" t="s">
        <v>42</v>
      </c>
      <c r="O33" s="25">
        <v>63587.1000000001</v>
      </c>
      <c r="P33" s="2">
        <v>15</v>
      </c>
      <c r="Q33" s="25">
        <v>9538.0650000000151</v>
      </c>
      <c r="R33" s="25">
        <v>19606.839342391399</v>
      </c>
      <c r="S33" s="25">
        <v>0</v>
      </c>
      <c r="T33" s="25">
        <v>43882</v>
      </c>
      <c r="U33" s="25">
        <v>98.260657608698239</v>
      </c>
      <c r="V33" s="18">
        <v>0</v>
      </c>
      <c r="W33" s="13">
        <v>33350</v>
      </c>
      <c r="X33" s="13">
        <v>0</v>
      </c>
      <c r="Y33" s="13">
        <f t="shared" si="0"/>
        <v>0</v>
      </c>
      <c r="Z33" s="13"/>
      <c r="AA33" s="31"/>
      <c r="AB33" s="27"/>
    </row>
    <row r="34" spans="2:28">
      <c r="B34" s="11">
        <v>24</v>
      </c>
      <c r="C34" s="1" t="s">
        <v>113</v>
      </c>
      <c r="D34" s="1" t="s">
        <v>114</v>
      </c>
      <c r="E34" s="1" t="s">
        <v>115</v>
      </c>
      <c r="F34" s="29" t="s">
        <v>39</v>
      </c>
      <c r="G34" s="11">
        <v>2023</v>
      </c>
      <c r="H34" s="16">
        <v>45230</v>
      </c>
      <c r="I34" s="16">
        <v>45596</v>
      </c>
      <c r="J34" s="11">
        <v>2976</v>
      </c>
      <c r="K34" s="12" t="s">
        <v>116</v>
      </c>
      <c r="L34" s="16">
        <v>45478</v>
      </c>
      <c r="M34" s="12" t="s">
        <v>41</v>
      </c>
      <c r="N34" s="11" t="s">
        <v>42</v>
      </c>
      <c r="O34" s="25">
        <v>73620830.25</v>
      </c>
      <c r="P34" s="2">
        <v>15</v>
      </c>
      <c r="Q34" s="25">
        <v>11043124.5375</v>
      </c>
      <c r="R34" s="25">
        <v>12315912.0215734</v>
      </c>
      <c r="S34" s="25">
        <v>0</v>
      </c>
      <c r="T34" s="25">
        <v>37509467</v>
      </c>
      <c r="U34" s="25">
        <v>23795451.228426598</v>
      </c>
      <c r="V34" s="18">
        <v>0</v>
      </c>
      <c r="W34" s="13">
        <v>28507195</v>
      </c>
      <c r="X34" s="13">
        <v>0</v>
      </c>
      <c r="Y34" s="13">
        <f t="shared" si="0"/>
        <v>0</v>
      </c>
      <c r="Z34" s="13"/>
      <c r="AA34" s="31"/>
      <c r="AB34" s="27"/>
    </row>
    <row r="35" spans="2:28">
      <c r="B35" s="11">
        <v>25</v>
      </c>
      <c r="C35" s="1" t="s">
        <v>117</v>
      </c>
      <c r="D35" s="1" t="s">
        <v>114</v>
      </c>
      <c r="E35" s="1" t="s">
        <v>115</v>
      </c>
      <c r="F35" s="29" t="s">
        <v>39</v>
      </c>
      <c r="G35" s="11">
        <v>2023</v>
      </c>
      <c r="H35" s="16">
        <v>45230</v>
      </c>
      <c r="I35" s="16">
        <v>45596</v>
      </c>
      <c r="J35" s="11">
        <v>2976</v>
      </c>
      <c r="K35" s="12" t="s">
        <v>116</v>
      </c>
      <c r="L35" s="16">
        <v>45587</v>
      </c>
      <c r="M35" s="12" t="s">
        <v>41</v>
      </c>
      <c r="N35" s="11" t="s">
        <v>42</v>
      </c>
      <c r="O35" s="25">
        <v>73620830.25</v>
      </c>
      <c r="P35" s="2">
        <v>15</v>
      </c>
      <c r="Q35" s="25">
        <v>11043124.5375</v>
      </c>
      <c r="R35" s="25">
        <v>12315912.0215734</v>
      </c>
      <c r="S35" s="25">
        <v>0</v>
      </c>
      <c r="T35" s="25">
        <v>23692818</v>
      </c>
      <c r="U35" s="25">
        <v>37612100.228426598</v>
      </c>
      <c r="V35" s="18">
        <v>0</v>
      </c>
      <c r="W35" s="13">
        <v>18006542</v>
      </c>
      <c r="X35" s="13">
        <v>0</v>
      </c>
      <c r="Y35" s="13">
        <f t="shared" si="0"/>
        <v>0</v>
      </c>
      <c r="Z35" s="13"/>
      <c r="AA35" s="31"/>
      <c r="AB35" s="27"/>
    </row>
    <row r="36" spans="2:28">
      <c r="B36" s="11">
        <v>26</v>
      </c>
      <c r="C36" s="1" t="s">
        <v>118</v>
      </c>
      <c r="D36" s="1" t="s">
        <v>119</v>
      </c>
      <c r="E36" s="1" t="s">
        <v>120</v>
      </c>
      <c r="F36" s="29" t="s">
        <v>39</v>
      </c>
      <c r="G36" s="11">
        <v>2023</v>
      </c>
      <c r="H36" s="16">
        <v>45230</v>
      </c>
      <c r="I36" s="16">
        <v>45596</v>
      </c>
      <c r="J36" s="11">
        <v>2976</v>
      </c>
      <c r="K36" s="12" t="s">
        <v>121</v>
      </c>
      <c r="L36" s="16">
        <v>45350</v>
      </c>
      <c r="M36" s="12" t="s">
        <v>41</v>
      </c>
      <c r="N36" s="11" t="s">
        <v>42</v>
      </c>
      <c r="O36" s="28">
        <v>35769499.950000003</v>
      </c>
      <c r="P36" s="2">
        <v>15</v>
      </c>
      <c r="Q36" s="25">
        <v>5365424.9925000006</v>
      </c>
      <c r="R36" s="28">
        <v>19757508.0708347</v>
      </c>
      <c r="S36" s="28">
        <v>0</v>
      </c>
      <c r="T36" s="28">
        <v>15847346</v>
      </c>
      <c r="U36" s="25">
        <v>164645.87916530296</v>
      </c>
      <c r="V36" s="18">
        <v>0</v>
      </c>
      <c r="W36" s="18">
        <v>12043983</v>
      </c>
      <c r="X36" s="13">
        <v>0</v>
      </c>
      <c r="Y36" s="13">
        <f t="shared" si="0"/>
        <v>0</v>
      </c>
      <c r="Z36" s="13"/>
      <c r="AA36" s="31"/>
      <c r="AB36" s="27"/>
    </row>
    <row r="37" spans="2:28">
      <c r="B37" s="11">
        <v>27</v>
      </c>
      <c r="C37" s="1" t="s">
        <v>122</v>
      </c>
      <c r="D37" s="1" t="s">
        <v>119</v>
      </c>
      <c r="E37" s="1" t="s">
        <v>120</v>
      </c>
      <c r="F37" s="29" t="s">
        <v>39</v>
      </c>
      <c r="G37" s="11">
        <v>2023</v>
      </c>
      <c r="H37" s="16">
        <v>45230</v>
      </c>
      <c r="I37" s="16">
        <v>45596</v>
      </c>
      <c r="J37" s="11">
        <v>2976</v>
      </c>
      <c r="K37" s="12" t="s">
        <v>116</v>
      </c>
      <c r="L37" s="16">
        <v>45438</v>
      </c>
      <c r="M37" s="12" t="s">
        <v>41</v>
      </c>
      <c r="N37" s="11" t="s">
        <v>42</v>
      </c>
      <c r="O37" s="25">
        <v>1257755.55</v>
      </c>
      <c r="P37" s="2">
        <v>15</v>
      </c>
      <c r="Q37" s="25">
        <v>188663.33249999999</v>
      </c>
      <c r="R37" s="25">
        <v>694729.18170507799</v>
      </c>
      <c r="S37" s="25">
        <v>0</v>
      </c>
      <c r="T37" s="25">
        <v>557237</v>
      </c>
      <c r="U37" s="25">
        <v>5789.3682949220529</v>
      </c>
      <c r="V37" s="18">
        <v>0</v>
      </c>
      <c r="W37" s="13">
        <v>423500</v>
      </c>
      <c r="X37" s="13">
        <v>0</v>
      </c>
      <c r="Y37" s="13">
        <f t="shared" si="0"/>
        <v>0</v>
      </c>
      <c r="Z37" s="13"/>
      <c r="AA37" s="31"/>
      <c r="AB37" s="27"/>
    </row>
    <row r="38" spans="2:28">
      <c r="B38" s="11">
        <v>28</v>
      </c>
      <c r="C38" s="1" t="s">
        <v>123</v>
      </c>
      <c r="D38" s="1" t="s">
        <v>124</v>
      </c>
      <c r="E38" s="1" t="s">
        <v>125</v>
      </c>
      <c r="F38" s="29" t="s">
        <v>39</v>
      </c>
      <c r="G38" s="11">
        <v>2023</v>
      </c>
      <c r="H38" s="16">
        <v>45291</v>
      </c>
      <c r="I38" s="16">
        <v>45657</v>
      </c>
      <c r="J38" s="11">
        <v>2975</v>
      </c>
      <c r="K38" s="12" t="s">
        <v>126</v>
      </c>
      <c r="L38" s="16">
        <v>45587</v>
      </c>
      <c r="M38" s="12" t="s">
        <v>41</v>
      </c>
      <c r="N38" s="11" t="s">
        <v>42</v>
      </c>
      <c r="O38" s="25">
        <v>1787000</v>
      </c>
      <c r="P38" s="2">
        <v>10</v>
      </c>
      <c r="Q38" s="25">
        <v>178700</v>
      </c>
      <c r="R38" s="25">
        <v>536100</v>
      </c>
      <c r="S38" s="25">
        <v>0</v>
      </c>
      <c r="T38" s="25">
        <v>1250006</v>
      </c>
      <c r="U38" s="25">
        <v>894</v>
      </c>
      <c r="V38" s="18">
        <v>0</v>
      </c>
      <c r="W38" s="13">
        <v>950005</v>
      </c>
      <c r="X38" s="13">
        <v>0</v>
      </c>
      <c r="Y38" s="13">
        <f t="shared" si="0"/>
        <v>0</v>
      </c>
      <c r="Z38" s="13"/>
      <c r="AA38" s="31"/>
      <c r="AB38" s="27"/>
    </row>
    <row r="39" spans="2:28">
      <c r="B39" s="11">
        <v>29</v>
      </c>
      <c r="C39" s="1" t="s">
        <v>127</v>
      </c>
      <c r="D39" s="1" t="s">
        <v>128</v>
      </c>
      <c r="E39" s="1" t="s">
        <v>129</v>
      </c>
      <c r="F39" s="29" t="s">
        <v>39</v>
      </c>
      <c r="G39" s="11">
        <v>2023</v>
      </c>
      <c r="H39" s="16">
        <v>45291</v>
      </c>
      <c r="I39" s="16">
        <v>45657</v>
      </c>
      <c r="J39" s="11">
        <v>2975</v>
      </c>
      <c r="K39" s="12" t="s">
        <v>96</v>
      </c>
      <c r="L39" s="16">
        <v>45351</v>
      </c>
      <c r="M39" s="12" t="s">
        <v>41</v>
      </c>
      <c r="N39" s="11" t="s">
        <v>42</v>
      </c>
      <c r="O39" s="25">
        <v>1693288</v>
      </c>
      <c r="P39" s="2">
        <v>10</v>
      </c>
      <c r="Q39" s="25">
        <v>169328.80000000002</v>
      </c>
      <c r="R39" s="25">
        <v>204680.24766555001</v>
      </c>
      <c r="S39" s="25">
        <v>0</v>
      </c>
      <c r="T39" s="25">
        <v>1488346</v>
      </c>
      <c r="U39" s="25">
        <v>261.7523344499059</v>
      </c>
      <c r="V39" s="18">
        <v>0</v>
      </c>
      <c r="W39" s="13">
        <v>1131143</v>
      </c>
      <c r="X39" s="13">
        <v>0</v>
      </c>
      <c r="Y39" s="13">
        <f t="shared" si="0"/>
        <v>0</v>
      </c>
      <c r="Z39" s="13"/>
      <c r="AA39" s="31"/>
      <c r="AB39" s="27"/>
    </row>
    <row r="40" spans="2:28">
      <c r="B40" s="11">
        <v>30</v>
      </c>
      <c r="C40" s="1" t="s">
        <v>130</v>
      </c>
      <c r="D40" s="1" t="s">
        <v>131</v>
      </c>
      <c r="E40" s="1" t="s">
        <v>132</v>
      </c>
      <c r="F40" s="29" t="s">
        <v>39</v>
      </c>
      <c r="G40" s="11">
        <v>2023</v>
      </c>
      <c r="H40" s="16">
        <v>45291</v>
      </c>
      <c r="I40" s="16">
        <v>45657</v>
      </c>
      <c r="J40" s="11">
        <v>2971</v>
      </c>
      <c r="K40" s="12" t="s">
        <v>133</v>
      </c>
      <c r="L40" s="16">
        <v>45463</v>
      </c>
      <c r="M40" s="12" t="s">
        <v>41</v>
      </c>
      <c r="N40" s="11" t="s">
        <v>42</v>
      </c>
      <c r="O40" s="25">
        <v>2698000</v>
      </c>
      <c r="P40" s="2">
        <v>20</v>
      </c>
      <c r="Q40" s="25">
        <v>539600</v>
      </c>
      <c r="R40" s="25">
        <v>757897.31621823995</v>
      </c>
      <c r="S40" s="25">
        <v>0</v>
      </c>
      <c r="T40" s="25">
        <v>1938208</v>
      </c>
      <c r="U40" s="25">
        <v>1894.6837817600463</v>
      </c>
      <c r="V40" s="18">
        <v>0</v>
      </c>
      <c r="W40" s="13">
        <v>1473038</v>
      </c>
      <c r="X40" s="13">
        <v>0</v>
      </c>
      <c r="Y40" s="13">
        <f t="shared" si="0"/>
        <v>0</v>
      </c>
      <c r="Z40" s="13"/>
      <c r="AA40" s="31"/>
      <c r="AB40" s="27"/>
    </row>
    <row r="41" spans="2:28">
      <c r="B41" s="11">
        <v>31</v>
      </c>
      <c r="C41" s="1" t="s">
        <v>134</v>
      </c>
      <c r="D41" s="1" t="s">
        <v>135</v>
      </c>
      <c r="E41" s="1" t="s">
        <v>136</v>
      </c>
      <c r="F41" s="29" t="s">
        <v>39</v>
      </c>
      <c r="G41" s="11">
        <v>2023</v>
      </c>
      <c r="H41" s="16">
        <v>45291</v>
      </c>
      <c r="I41" s="16">
        <v>45657</v>
      </c>
      <c r="J41" s="11">
        <v>23002</v>
      </c>
      <c r="K41" s="12" t="s">
        <v>137</v>
      </c>
      <c r="L41" s="16">
        <v>45424</v>
      </c>
      <c r="M41" s="12" t="s">
        <v>41</v>
      </c>
      <c r="N41" s="11" t="s">
        <v>42</v>
      </c>
      <c r="O41" s="25">
        <v>16118880.6</v>
      </c>
      <c r="P41" s="2">
        <v>20</v>
      </c>
      <c r="Q41" s="25">
        <v>3223776.12</v>
      </c>
      <c r="R41" s="25">
        <v>8095297.3613688201</v>
      </c>
      <c r="S41" s="25">
        <v>0</v>
      </c>
      <c r="T41" s="25">
        <v>2073628</v>
      </c>
      <c r="U41" s="25">
        <v>5949955.2386311796</v>
      </c>
      <c r="V41" s="18">
        <v>0</v>
      </c>
      <c r="W41" s="13">
        <v>1575957</v>
      </c>
      <c r="X41" s="13">
        <v>0</v>
      </c>
      <c r="Y41" s="13">
        <f t="shared" si="0"/>
        <v>0</v>
      </c>
      <c r="Z41" s="13"/>
      <c r="AA41" s="31"/>
      <c r="AB41" s="27"/>
    </row>
    <row r="42" spans="2:28">
      <c r="B42" s="11">
        <v>32</v>
      </c>
      <c r="C42" s="1" t="s">
        <v>138</v>
      </c>
      <c r="D42" s="1" t="s">
        <v>135</v>
      </c>
      <c r="E42" s="1" t="s">
        <v>136</v>
      </c>
      <c r="F42" s="29" t="s">
        <v>39</v>
      </c>
      <c r="G42" s="11">
        <v>2023</v>
      </c>
      <c r="H42" s="16">
        <v>45291</v>
      </c>
      <c r="I42" s="16">
        <v>45657</v>
      </c>
      <c r="J42" s="11">
        <v>23002</v>
      </c>
      <c r="K42" s="12" t="s">
        <v>137</v>
      </c>
      <c r="L42" s="16">
        <v>45521</v>
      </c>
      <c r="M42" s="12" t="s">
        <v>41</v>
      </c>
      <c r="N42" s="11" t="s">
        <v>42</v>
      </c>
      <c r="O42" s="25">
        <v>16118880.6</v>
      </c>
      <c r="P42" s="2">
        <v>20</v>
      </c>
      <c r="Q42" s="25">
        <v>3223776.12</v>
      </c>
      <c r="R42" s="25">
        <v>8095297.3613688201</v>
      </c>
      <c r="S42" s="25">
        <v>0</v>
      </c>
      <c r="T42" s="25">
        <v>5929718</v>
      </c>
      <c r="U42" s="25">
        <v>2093865.2386311796</v>
      </c>
      <c r="V42" s="18">
        <v>0</v>
      </c>
      <c r="W42" s="13">
        <v>4506585</v>
      </c>
      <c r="X42" s="13">
        <v>0</v>
      </c>
      <c r="Y42" s="13">
        <f t="shared" si="0"/>
        <v>0</v>
      </c>
      <c r="Z42" s="13"/>
      <c r="AA42" s="31"/>
      <c r="AB42" s="27"/>
    </row>
    <row r="43" spans="2:28" s="14" customFormat="1">
      <c r="B43" s="11">
        <v>33</v>
      </c>
      <c r="C43" s="12" t="s">
        <v>139</v>
      </c>
      <c r="D43" s="12" t="s">
        <v>140</v>
      </c>
      <c r="E43" s="12" t="s">
        <v>141</v>
      </c>
      <c r="F43" s="29" t="s">
        <v>39</v>
      </c>
      <c r="G43" s="11">
        <v>2023</v>
      </c>
      <c r="H43" s="16">
        <v>45291</v>
      </c>
      <c r="I43" s="16">
        <v>45657</v>
      </c>
      <c r="J43" s="11">
        <v>29371</v>
      </c>
      <c r="K43" s="12" t="s">
        <v>142</v>
      </c>
      <c r="L43" s="16">
        <v>45609</v>
      </c>
      <c r="M43" s="12" t="s">
        <v>41</v>
      </c>
      <c r="N43" s="11" t="s">
        <v>42</v>
      </c>
      <c r="O43" s="25">
        <v>3266000</v>
      </c>
      <c r="P43" s="2">
        <v>20</v>
      </c>
      <c r="Q43" s="25">
        <v>653200</v>
      </c>
      <c r="R43" s="25">
        <v>1256153.84615385</v>
      </c>
      <c r="S43" s="25">
        <v>0</v>
      </c>
      <c r="T43" s="25">
        <v>2006705</v>
      </c>
      <c r="U43" s="25">
        <v>3141.1538461500313</v>
      </c>
      <c r="V43" s="18">
        <v>0</v>
      </c>
      <c r="W43" s="13">
        <v>1525096</v>
      </c>
      <c r="X43" s="13">
        <v>0</v>
      </c>
      <c r="Y43" s="13">
        <f t="shared" ref="Y43:Y67" si="1">X43*76%</f>
        <v>0</v>
      </c>
      <c r="Z43" s="13"/>
      <c r="AA43" s="31"/>
      <c r="AB43" s="27"/>
    </row>
    <row r="44" spans="2:28">
      <c r="B44" s="11">
        <v>34</v>
      </c>
      <c r="C44" s="1" t="s">
        <v>143</v>
      </c>
      <c r="D44" s="1" t="s">
        <v>144</v>
      </c>
      <c r="E44" s="1" t="s">
        <v>145</v>
      </c>
      <c r="F44" s="29" t="s">
        <v>39</v>
      </c>
      <c r="G44" s="11">
        <v>2023</v>
      </c>
      <c r="H44" s="16">
        <v>45291</v>
      </c>
      <c r="I44" s="16">
        <v>45657</v>
      </c>
      <c r="J44" s="11">
        <v>23002</v>
      </c>
      <c r="K44" s="12" t="s">
        <v>137</v>
      </c>
      <c r="L44" s="16">
        <v>45645</v>
      </c>
      <c r="M44" s="12" t="s">
        <v>41</v>
      </c>
      <c r="N44" s="11" t="s">
        <v>42</v>
      </c>
      <c r="O44" s="25">
        <v>1980000</v>
      </c>
      <c r="P44" s="2">
        <v>20</v>
      </c>
      <c r="Q44" s="25">
        <v>396000</v>
      </c>
      <c r="R44" s="25">
        <v>1126453.7493664599</v>
      </c>
      <c r="S44" s="25">
        <v>0</v>
      </c>
      <c r="T44" s="25">
        <v>850731</v>
      </c>
      <c r="U44" s="25">
        <v>2815.2506335400976</v>
      </c>
      <c r="V44" s="18">
        <v>0</v>
      </c>
      <c r="W44" s="13">
        <v>646555</v>
      </c>
      <c r="X44" s="13">
        <v>0</v>
      </c>
      <c r="Y44" s="13">
        <f t="shared" si="1"/>
        <v>0</v>
      </c>
      <c r="Z44" s="13"/>
      <c r="AA44" s="31"/>
      <c r="AB44" s="27"/>
    </row>
    <row r="45" spans="2:28">
      <c r="B45" s="11">
        <v>35</v>
      </c>
      <c r="C45" s="1" t="s">
        <v>146</v>
      </c>
      <c r="D45" s="1" t="s">
        <v>147</v>
      </c>
      <c r="E45" s="1" t="s">
        <v>148</v>
      </c>
      <c r="F45" s="29" t="s">
        <v>39</v>
      </c>
      <c r="G45" s="11">
        <v>2023</v>
      </c>
      <c r="H45" s="16">
        <v>45291</v>
      </c>
      <c r="I45" s="16">
        <v>45657</v>
      </c>
      <c r="J45" s="11">
        <v>2975</v>
      </c>
      <c r="K45" s="12" t="s">
        <v>149</v>
      </c>
      <c r="L45" s="16">
        <v>45363</v>
      </c>
      <c r="M45" s="12" t="s">
        <v>41</v>
      </c>
      <c r="N45" s="11" t="s">
        <v>42</v>
      </c>
      <c r="O45" s="25">
        <v>36040354.600000001</v>
      </c>
      <c r="P45" s="2">
        <v>10</v>
      </c>
      <c r="Q45" s="25">
        <v>3604035.4600000004</v>
      </c>
      <c r="R45" s="25">
        <v>13185495.585365901</v>
      </c>
      <c r="S45" s="25">
        <v>0</v>
      </c>
      <c r="T45" s="25">
        <v>2751609</v>
      </c>
      <c r="U45" s="25">
        <v>20103250.014634103</v>
      </c>
      <c r="V45" s="18">
        <v>0</v>
      </c>
      <c r="W45" s="13">
        <v>2091223</v>
      </c>
      <c r="X45" s="13">
        <v>0</v>
      </c>
      <c r="Y45" s="13">
        <f t="shared" si="1"/>
        <v>0</v>
      </c>
      <c r="Z45" s="13"/>
      <c r="AA45" s="31"/>
      <c r="AB45" s="27"/>
    </row>
    <row r="46" spans="2:28">
      <c r="B46" s="11">
        <v>36</v>
      </c>
      <c r="C46" s="1" t="s">
        <v>150</v>
      </c>
      <c r="D46" s="1" t="s">
        <v>147</v>
      </c>
      <c r="E46" s="1" t="s">
        <v>148</v>
      </c>
      <c r="F46" s="29" t="s">
        <v>39</v>
      </c>
      <c r="G46" s="11">
        <v>2023</v>
      </c>
      <c r="H46" s="16">
        <v>45291</v>
      </c>
      <c r="I46" s="16">
        <v>45657</v>
      </c>
      <c r="J46" s="11">
        <v>2975</v>
      </c>
      <c r="K46" s="12" t="s">
        <v>149</v>
      </c>
      <c r="L46" s="16">
        <v>45476</v>
      </c>
      <c r="M46" s="12" t="s">
        <v>41</v>
      </c>
      <c r="N46" s="11" t="s">
        <v>42</v>
      </c>
      <c r="O46" s="25">
        <v>36040354.600000001</v>
      </c>
      <c r="P46" s="2">
        <v>10</v>
      </c>
      <c r="Q46" s="25">
        <v>3604035.4600000004</v>
      </c>
      <c r="R46" s="25">
        <v>13185495.585365901</v>
      </c>
      <c r="S46" s="25">
        <v>0</v>
      </c>
      <c r="T46" s="25">
        <v>20081273</v>
      </c>
      <c r="U46" s="25">
        <v>2773586.0146341026</v>
      </c>
      <c r="V46" s="18">
        <v>0</v>
      </c>
      <c r="W46" s="13">
        <v>15261768</v>
      </c>
      <c r="X46" s="13">
        <v>0</v>
      </c>
      <c r="Y46" s="13">
        <f t="shared" si="1"/>
        <v>0</v>
      </c>
      <c r="Z46" s="13"/>
      <c r="AA46" s="31"/>
      <c r="AB46" s="27"/>
    </row>
    <row r="47" spans="2:28">
      <c r="B47" s="11">
        <v>37</v>
      </c>
      <c r="C47" s="1" t="s">
        <v>151</v>
      </c>
      <c r="D47" s="1" t="s">
        <v>152</v>
      </c>
      <c r="E47" s="1" t="s">
        <v>153</v>
      </c>
      <c r="F47" s="29" t="s">
        <v>39</v>
      </c>
      <c r="G47" s="11">
        <v>2023</v>
      </c>
      <c r="H47" s="16">
        <v>45291</v>
      </c>
      <c r="I47" s="16">
        <v>45657</v>
      </c>
      <c r="J47" s="11" t="s">
        <v>154</v>
      </c>
      <c r="K47" s="12" t="s">
        <v>155</v>
      </c>
      <c r="L47" s="16">
        <v>45632</v>
      </c>
      <c r="M47" s="12" t="s">
        <v>41</v>
      </c>
      <c r="N47" s="11" t="s">
        <v>42</v>
      </c>
      <c r="O47" s="25">
        <v>3060130</v>
      </c>
      <c r="P47" s="2">
        <v>10</v>
      </c>
      <c r="Q47" s="25">
        <v>306013</v>
      </c>
      <c r="R47" s="25">
        <v>1382756.33761815</v>
      </c>
      <c r="S47" s="25">
        <v>0</v>
      </c>
      <c r="T47" s="25">
        <v>1675068</v>
      </c>
      <c r="U47" s="25">
        <v>2305.6623818499502</v>
      </c>
      <c r="V47" s="18">
        <v>0</v>
      </c>
      <c r="W47" s="13">
        <v>1273052</v>
      </c>
      <c r="X47" s="13">
        <v>0</v>
      </c>
      <c r="Y47" s="13">
        <f t="shared" si="1"/>
        <v>0</v>
      </c>
      <c r="Z47" s="13"/>
      <c r="AA47" s="31"/>
      <c r="AB47" s="27"/>
    </row>
    <row r="48" spans="2:28">
      <c r="B48" s="11">
        <v>38</v>
      </c>
      <c r="C48" s="1" t="s">
        <v>156</v>
      </c>
      <c r="D48" s="1" t="s">
        <v>157</v>
      </c>
      <c r="E48" s="1" t="s">
        <v>158</v>
      </c>
      <c r="F48" s="29" t="s">
        <v>39</v>
      </c>
      <c r="G48" s="11">
        <v>2023</v>
      </c>
      <c r="H48" s="16">
        <v>45291</v>
      </c>
      <c r="I48" s="16">
        <v>45657</v>
      </c>
      <c r="J48" s="11">
        <v>23002</v>
      </c>
      <c r="K48" s="12" t="s">
        <v>159</v>
      </c>
      <c r="L48" s="16">
        <v>45448</v>
      </c>
      <c r="M48" s="12" t="s">
        <v>41</v>
      </c>
      <c r="N48" s="11" t="s">
        <v>42</v>
      </c>
      <c r="O48" s="25">
        <v>2608151</v>
      </c>
      <c r="P48" s="2">
        <v>20</v>
      </c>
      <c r="Q48" s="25">
        <v>521630.2</v>
      </c>
      <c r="R48" s="25">
        <v>870607.53919128596</v>
      </c>
      <c r="S48" s="25">
        <v>0</v>
      </c>
      <c r="T48" s="25">
        <v>1735366</v>
      </c>
      <c r="U48" s="25">
        <v>2177.4608087139204</v>
      </c>
      <c r="V48" s="18">
        <v>0</v>
      </c>
      <c r="W48" s="13">
        <v>1318879</v>
      </c>
      <c r="X48" s="13">
        <v>0</v>
      </c>
      <c r="Y48" s="13">
        <f t="shared" si="1"/>
        <v>0</v>
      </c>
      <c r="Z48" s="13"/>
      <c r="AA48" s="31"/>
      <c r="AB48" s="27"/>
    </row>
    <row r="49" spans="2:28">
      <c r="B49" s="11">
        <v>39</v>
      </c>
      <c r="C49" s="1" t="s">
        <v>160</v>
      </c>
      <c r="D49" s="1" t="s">
        <v>161</v>
      </c>
      <c r="E49" s="1" t="s">
        <v>162</v>
      </c>
      <c r="F49" s="29" t="s">
        <v>39</v>
      </c>
      <c r="G49" s="11">
        <v>2023</v>
      </c>
      <c r="H49" s="16">
        <v>45291</v>
      </c>
      <c r="I49" s="16">
        <v>45657</v>
      </c>
      <c r="J49" s="11">
        <v>2975</v>
      </c>
      <c r="K49" s="12" t="s">
        <v>96</v>
      </c>
      <c r="L49" s="16">
        <v>45580</v>
      </c>
      <c r="M49" s="12" t="s">
        <v>41</v>
      </c>
      <c r="N49" s="11" t="s">
        <v>42</v>
      </c>
      <c r="O49" s="25">
        <v>1172500</v>
      </c>
      <c r="P49" s="2">
        <v>10</v>
      </c>
      <c r="Q49" s="25">
        <v>117250</v>
      </c>
      <c r="R49" s="25">
        <v>1116666.66666667</v>
      </c>
      <c r="S49" s="25">
        <v>0</v>
      </c>
      <c r="T49" s="25">
        <v>53971</v>
      </c>
      <c r="U49" s="25">
        <v>1862.3333333299961</v>
      </c>
      <c r="V49" s="18">
        <v>0</v>
      </c>
      <c r="W49" s="13">
        <v>41019</v>
      </c>
      <c r="X49" s="13">
        <v>0</v>
      </c>
      <c r="Y49" s="13">
        <f t="shared" si="1"/>
        <v>0</v>
      </c>
      <c r="Z49" s="13"/>
      <c r="AA49" s="31"/>
      <c r="AB49" s="27"/>
    </row>
    <row r="50" spans="2:28">
      <c r="B50" s="11">
        <v>40</v>
      </c>
      <c r="C50" s="1" t="s">
        <v>163</v>
      </c>
      <c r="D50" s="1" t="s">
        <v>164</v>
      </c>
      <c r="E50" s="1" t="s">
        <v>165</v>
      </c>
      <c r="F50" s="29" t="s">
        <v>39</v>
      </c>
      <c r="G50" s="11">
        <v>2023</v>
      </c>
      <c r="H50" s="16">
        <v>45288</v>
      </c>
      <c r="I50" s="16">
        <v>45654</v>
      </c>
      <c r="J50" s="11">
        <v>2512</v>
      </c>
      <c r="K50" s="12" t="s">
        <v>166</v>
      </c>
      <c r="L50" s="16">
        <v>45601</v>
      </c>
      <c r="M50" s="12" t="s">
        <v>41</v>
      </c>
      <c r="N50" s="11" t="s">
        <v>42</v>
      </c>
      <c r="O50" s="25">
        <v>159630666.96000001</v>
      </c>
      <c r="P50" s="2">
        <v>12</v>
      </c>
      <c r="Q50" s="25">
        <v>19155680.0352</v>
      </c>
      <c r="R50" s="25">
        <v>93900392.3294117</v>
      </c>
      <c r="S50" s="25">
        <v>0</v>
      </c>
      <c r="T50" s="25">
        <v>65542473</v>
      </c>
      <c r="U50" s="25">
        <v>187801.63058830798</v>
      </c>
      <c r="V50" s="18">
        <v>0</v>
      </c>
      <c r="W50" s="13">
        <v>49812280</v>
      </c>
      <c r="X50" s="13">
        <v>1432592.28</v>
      </c>
      <c r="Y50" s="13">
        <f t="shared" si="1"/>
        <v>1088770.1328</v>
      </c>
      <c r="Z50" s="13"/>
      <c r="AA50" s="31"/>
      <c r="AB50" s="27"/>
    </row>
    <row r="51" spans="2:28">
      <c r="B51" s="11">
        <v>41</v>
      </c>
      <c r="C51" s="1" t="s">
        <v>167</v>
      </c>
      <c r="D51" s="1" t="s">
        <v>168</v>
      </c>
      <c r="E51" s="1" t="s">
        <v>169</v>
      </c>
      <c r="F51" s="29" t="s">
        <v>39</v>
      </c>
      <c r="G51" s="11">
        <v>2023</v>
      </c>
      <c r="H51" s="16">
        <v>45291</v>
      </c>
      <c r="I51" s="16">
        <v>45657</v>
      </c>
      <c r="J51" s="11">
        <v>23002</v>
      </c>
      <c r="K51" s="12" t="s">
        <v>170</v>
      </c>
      <c r="L51" s="16">
        <v>45599</v>
      </c>
      <c r="M51" s="12" t="s">
        <v>41</v>
      </c>
      <c r="N51" s="11" t="s">
        <v>42</v>
      </c>
      <c r="O51" s="28">
        <v>5034281.72</v>
      </c>
      <c r="P51" s="2">
        <v>20</v>
      </c>
      <c r="Q51" s="25">
        <v>1006856.344</v>
      </c>
      <c r="R51" s="28">
        <v>836900.72143321997</v>
      </c>
      <c r="S51" s="28">
        <v>0</v>
      </c>
      <c r="T51" s="28">
        <v>1174182</v>
      </c>
      <c r="U51" s="25">
        <v>3023198.9985667802</v>
      </c>
      <c r="V51" s="18">
        <v>0</v>
      </c>
      <c r="W51" s="18">
        <v>892378</v>
      </c>
      <c r="X51" s="13">
        <v>0</v>
      </c>
      <c r="Y51" s="13">
        <f t="shared" si="1"/>
        <v>0</v>
      </c>
      <c r="Z51" s="13"/>
      <c r="AA51" s="31"/>
      <c r="AB51" s="27"/>
    </row>
    <row r="52" spans="2:28">
      <c r="B52" s="11">
        <v>42</v>
      </c>
      <c r="C52" s="1" t="s">
        <v>167</v>
      </c>
      <c r="D52" s="1" t="s">
        <v>168</v>
      </c>
      <c r="E52" s="1" t="s">
        <v>169</v>
      </c>
      <c r="F52" s="29" t="s">
        <v>39</v>
      </c>
      <c r="G52" s="11">
        <v>2023</v>
      </c>
      <c r="H52" s="16">
        <v>45291</v>
      </c>
      <c r="I52" s="16">
        <v>45657</v>
      </c>
      <c r="J52" s="11">
        <v>23002</v>
      </c>
      <c r="K52" s="12" t="s">
        <v>170</v>
      </c>
      <c r="L52" s="16">
        <v>45629</v>
      </c>
      <c r="M52" s="12" t="s">
        <v>41</v>
      </c>
      <c r="N52" s="11" t="s">
        <v>42</v>
      </c>
      <c r="O52" s="25">
        <v>5034281.72</v>
      </c>
      <c r="P52" s="2">
        <v>20</v>
      </c>
      <c r="Q52" s="25">
        <v>1006856.344</v>
      </c>
      <c r="R52" s="25">
        <v>836900.72143321997</v>
      </c>
      <c r="S52" s="25">
        <v>0</v>
      </c>
      <c r="T52" s="25">
        <v>3021106</v>
      </c>
      <c r="U52" s="25">
        <v>1176274.9985667802</v>
      </c>
      <c r="V52" s="18">
        <v>0</v>
      </c>
      <c r="W52" s="13">
        <v>2296041</v>
      </c>
      <c r="X52" s="13">
        <v>0</v>
      </c>
      <c r="Y52" s="13">
        <f t="shared" si="1"/>
        <v>0</v>
      </c>
      <c r="Z52" s="13"/>
      <c r="AA52" s="31"/>
      <c r="AB52" s="27"/>
    </row>
    <row r="53" spans="2:28">
      <c r="B53" s="11">
        <v>43</v>
      </c>
      <c r="C53" s="1" t="s">
        <v>171</v>
      </c>
      <c r="D53" s="1" t="s">
        <v>172</v>
      </c>
      <c r="E53" s="1" t="s">
        <v>173</v>
      </c>
      <c r="F53" s="29" t="s">
        <v>39</v>
      </c>
      <c r="G53" s="11">
        <v>2023</v>
      </c>
      <c r="H53" s="16">
        <v>45199</v>
      </c>
      <c r="I53" s="16">
        <v>45565</v>
      </c>
      <c r="J53" s="11">
        <v>2433</v>
      </c>
      <c r="K53" s="12" t="s">
        <v>174</v>
      </c>
      <c r="L53" s="16">
        <v>45343</v>
      </c>
      <c r="M53" s="12" t="s">
        <v>41</v>
      </c>
      <c r="N53" s="11" t="s">
        <v>60</v>
      </c>
      <c r="O53" s="28">
        <v>144392.73000000001</v>
      </c>
      <c r="P53" s="2">
        <v>4.55</v>
      </c>
      <c r="Q53" s="25">
        <v>6569.8692150000006</v>
      </c>
      <c r="R53" s="28">
        <v>11729.49</v>
      </c>
      <c r="S53" s="28">
        <v>0</v>
      </c>
      <c r="T53" s="28">
        <v>144392.73000000001</v>
      </c>
      <c r="U53" s="25">
        <v>-11729.489999999991</v>
      </c>
      <c r="V53" s="18">
        <v>0</v>
      </c>
      <c r="W53" s="18">
        <v>109738.48</v>
      </c>
      <c r="X53" s="13">
        <v>5024027206.45508</v>
      </c>
      <c r="Y53" s="13">
        <f t="shared" si="1"/>
        <v>3818260676.9058609</v>
      </c>
      <c r="Z53" s="13"/>
      <c r="AA53" s="31"/>
      <c r="AB53" s="27"/>
    </row>
    <row r="54" spans="2:28">
      <c r="B54" s="11">
        <v>44</v>
      </c>
      <c r="C54" s="1" t="s">
        <v>175</v>
      </c>
      <c r="D54" s="1" t="s">
        <v>176</v>
      </c>
      <c r="E54" s="1" t="s">
        <v>177</v>
      </c>
      <c r="F54" s="29" t="s">
        <v>39</v>
      </c>
      <c r="G54" s="11">
        <v>2023</v>
      </c>
      <c r="H54" s="16">
        <v>45291</v>
      </c>
      <c r="I54" s="16">
        <v>45657</v>
      </c>
      <c r="J54" s="11">
        <v>2742</v>
      </c>
      <c r="K54" s="12" t="s">
        <v>178</v>
      </c>
      <c r="L54" s="16">
        <v>45353</v>
      </c>
      <c r="M54" s="12" t="s">
        <v>41</v>
      </c>
      <c r="N54" s="11" t="s">
        <v>42</v>
      </c>
      <c r="O54" s="25">
        <v>131236286.09999999</v>
      </c>
      <c r="P54" s="2">
        <v>7.5</v>
      </c>
      <c r="Q54" s="25">
        <v>9842721.4574999996</v>
      </c>
      <c r="R54" s="25">
        <v>96842479.006157205</v>
      </c>
      <c r="S54" s="25">
        <v>0</v>
      </c>
      <c r="T54" s="25">
        <v>34272753</v>
      </c>
      <c r="U54" s="25">
        <v>121054.09384278953</v>
      </c>
      <c r="V54" s="18">
        <v>0</v>
      </c>
      <c r="W54" s="13">
        <v>26047293</v>
      </c>
      <c r="X54" s="13">
        <v>0</v>
      </c>
      <c r="Y54" s="13">
        <f t="shared" si="1"/>
        <v>0</v>
      </c>
      <c r="Z54" s="13"/>
      <c r="AA54" s="31"/>
      <c r="AB54" s="27"/>
    </row>
    <row r="55" spans="2:28">
      <c r="B55" s="11">
        <v>45</v>
      </c>
      <c r="C55" s="1" t="s">
        <v>179</v>
      </c>
      <c r="D55" s="1" t="s">
        <v>180</v>
      </c>
      <c r="E55" s="1" t="s">
        <v>181</v>
      </c>
      <c r="F55" s="29" t="s">
        <v>39</v>
      </c>
      <c r="G55" s="11">
        <v>2023</v>
      </c>
      <c r="H55" s="16">
        <v>45291</v>
      </c>
      <c r="I55" s="16">
        <v>45657</v>
      </c>
      <c r="J55" s="11">
        <v>2742</v>
      </c>
      <c r="K55" s="12" t="s">
        <v>182</v>
      </c>
      <c r="L55" s="16">
        <v>45519</v>
      </c>
      <c r="M55" s="12" t="s">
        <v>41</v>
      </c>
      <c r="N55" s="11" t="s">
        <v>42</v>
      </c>
      <c r="O55" s="28">
        <v>6000000</v>
      </c>
      <c r="P55" s="2">
        <v>7.5</v>
      </c>
      <c r="Q55" s="25">
        <v>450000</v>
      </c>
      <c r="R55" s="28">
        <v>2894334.7968907799</v>
      </c>
      <c r="S55" s="28">
        <v>0</v>
      </c>
      <c r="T55" s="28">
        <v>3102047</v>
      </c>
      <c r="U55" s="25">
        <v>3618.203109220136</v>
      </c>
      <c r="V55" s="18">
        <v>0</v>
      </c>
      <c r="W55" s="18">
        <v>2357556</v>
      </c>
      <c r="X55" s="13">
        <v>0</v>
      </c>
      <c r="Y55" s="13">
        <f t="shared" si="1"/>
        <v>0</v>
      </c>
      <c r="Z55" s="13"/>
      <c r="AA55" s="31"/>
      <c r="AB55" s="27"/>
    </row>
    <row r="56" spans="2:28">
      <c r="B56" s="11">
        <v>46</v>
      </c>
      <c r="C56" s="1" t="s">
        <v>183</v>
      </c>
      <c r="D56" s="1" t="s">
        <v>184</v>
      </c>
      <c r="E56" s="1" t="s">
        <v>185</v>
      </c>
      <c r="F56" s="29" t="s">
        <v>39</v>
      </c>
      <c r="G56" s="11">
        <v>2023</v>
      </c>
      <c r="H56" s="16">
        <v>45291</v>
      </c>
      <c r="I56" s="16">
        <v>45657</v>
      </c>
      <c r="J56" s="11">
        <v>2742</v>
      </c>
      <c r="K56" s="12" t="s">
        <v>182</v>
      </c>
      <c r="L56" s="16">
        <v>45351</v>
      </c>
      <c r="M56" s="12" t="s">
        <v>41</v>
      </c>
      <c r="N56" s="11" t="s">
        <v>42</v>
      </c>
      <c r="O56" s="25">
        <v>12811125</v>
      </c>
      <c r="P56" s="2">
        <v>7.5</v>
      </c>
      <c r="Q56" s="25">
        <v>960834.375</v>
      </c>
      <c r="R56" s="25">
        <v>8685508.4745762907</v>
      </c>
      <c r="S56" s="25">
        <v>0</v>
      </c>
      <c r="T56" s="25">
        <v>3685615</v>
      </c>
      <c r="U56" s="25">
        <v>440001.5254237093</v>
      </c>
      <c r="V56" s="18">
        <v>0</v>
      </c>
      <c r="W56" s="13">
        <v>2801067</v>
      </c>
      <c r="X56" s="13">
        <v>0</v>
      </c>
      <c r="Y56" s="13">
        <f t="shared" si="1"/>
        <v>0</v>
      </c>
      <c r="Z56" s="13"/>
      <c r="AA56" s="31"/>
      <c r="AB56" s="27"/>
    </row>
    <row r="57" spans="2:28">
      <c r="B57" s="11">
        <v>47</v>
      </c>
      <c r="C57" s="1" t="s">
        <v>186</v>
      </c>
      <c r="D57" s="1" t="s">
        <v>184</v>
      </c>
      <c r="E57" s="1" t="s">
        <v>185</v>
      </c>
      <c r="F57" s="29" t="s">
        <v>39</v>
      </c>
      <c r="G57" s="11">
        <v>2023</v>
      </c>
      <c r="H57" s="16">
        <v>45291</v>
      </c>
      <c r="I57" s="16">
        <v>45657</v>
      </c>
      <c r="J57" s="11">
        <v>2742</v>
      </c>
      <c r="K57" s="12" t="s">
        <v>182</v>
      </c>
      <c r="L57" s="16">
        <v>45366</v>
      </c>
      <c r="M57" s="12" t="s">
        <v>41</v>
      </c>
      <c r="N57" s="11" t="s">
        <v>42</v>
      </c>
      <c r="O57" s="25">
        <v>12811125</v>
      </c>
      <c r="P57" s="2">
        <v>7.5</v>
      </c>
      <c r="Q57" s="25">
        <v>960834.375</v>
      </c>
      <c r="R57" s="25">
        <v>8685508.4745762907</v>
      </c>
      <c r="S57" s="25">
        <v>0</v>
      </c>
      <c r="T57" s="25">
        <v>429145</v>
      </c>
      <c r="U57" s="25">
        <v>3696471.5254237093</v>
      </c>
      <c r="V57" s="18">
        <v>0</v>
      </c>
      <c r="W57" s="13">
        <v>326150</v>
      </c>
      <c r="X57" s="13">
        <v>0</v>
      </c>
      <c r="Y57" s="13">
        <f t="shared" si="1"/>
        <v>0</v>
      </c>
      <c r="Z57" s="13"/>
      <c r="AA57" s="31"/>
      <c r="AB57" s="27"/>
    </row>
    <row r="58" spans="2:28">
      <c r="B58" s="11">
        <v>48</v>
      </c>
      <c r="C58" s="1" t="s">
        <v>187</v>
      </c>
      <c r="D58" s="1" t="s">
        <v>188</v>
      </c>
      <c r="E58" s="1" t="s">
        <v>189</v>
      </c>
      <c r="F58" s="29" t="s">
        <v>39</v>
      </c>
      <c r="G58" s="11">
        <v>2023</v>
      </c>
      <c r="H58" s="16">
        <v>44985</v>
      </c>
      <c r="I58" s="16">
        <v>45350</v>
      </c>
      <c r="J58" s="11">
        <v>2975</v>
      </c>
      <c r="K58" s="12" t="s">
        <v>96</v>
      </c>
      <c r="L58" s="16">
        <v>45006</v>
      </c>
      <c r="M58" s="12" t="s">
        <v>190</v>
      </c>
      <c r="N58" s="11" t="s">
        <v>42</v>
      </c>
      <c r="O58" s="25">
        <v>1035995.341</v>
      </c>
      <c r="P58" s="2">
        <v>100</v>
      </c>
      <c r="Q58" s="25">
        <v>1035995.341</v>
      </c>
      <c r="R58" s="25">
        <v>160586.132875551</v>
      </c>
      <c r="S58" s="25">
        <v>0</v>
      </c>
      <c r="T58" s="25">
        <v>875409</v>
      </c>
      <c r="U58" s="25">
        <v>0.20812444901093841</v>
      </c>
      <c r="V58" s="18">
        <v>0</v>
      </c>
      <c r="W58" s="13">
        <v>665311</v>
      </c>
      <c r="X58" s="13">
        <v>0</v>
      </c>
      <c r="Y58" s="13">
        <f t="shared" si="1"/>
        <v>0</v>
      </c>
      <c r="Z58" s="13"/>
      <c r="AA58" s="31"/>
      <c r="AB58" s="27"/>
    </row>
    <row r="59" spans="2:28">
      <c r="B59" s="11">
        <v>49</v>
      </c>
      <c r="C59" s="1" t="s">
        <v>191</v>
      </c>
      <c r="D59" s="1" t="s">
        <v>188</v>
      </c>
      <c r="E59" s="1" t="s">
        <v>192</v>
      </c>
      <c r="F59" s="29" t="s">
        <v>39</v>
      </c>
      <c r="G59" s="11">
        <v>2023</v>
      </c>
      <c r="H59" s="16">
        <v>44985</v>
      </c>
      <c r="I59" s="16">
        <v>45350</v>
      </c>
      <c r="J59" s="11">
        <v>2975</v>
      </c>
      <c r="K59" s="12" t="s">
        <v>96</v>
      </c>
      <c r="L59" s="16">
        <v>45344</v>
      </c>
      <c r="M59" s="12" t="s">
        <v>190</v>
      </c>
      <c r="N59" s="11" t="s">
        <v>42</v>
      </c>
      <c r="O59" s="25">
        <v>369158.8</v>
      </c>
      <c r="P59" s="2">
        <v>100</v>
      </c>
      <c r="Q59" s="25">
        <v>369158.8</v>
      </c>
      <c r="R59" s="25">
        <v>87894.9523809526</v>
      </c>
      <c r="S59" s="25">
        <v>0</v>
      </c>
      <c r="T59" s="25">
        <v>281264</v>
      </c>
      <c r="U59" s="25">
        <v>-0.15238095261156559</v>
      </c>
      <c r="V59" s="18">
        <v>0</v>
      </c>
      <c r="W59" s="13">
        <v>213761</v>
      </c>
      <c r="X59" s="13">
        <v>97771.199999999997</v>
      </c>
      <c r="Y59" s="13">
        <f t="shared" si="1"/>
        <v>74306.111999999994</v>
      </c>
      <c r="Z59" s="13"/>
      <c r="AA59" s="31"/>
      <c r="AB59" s="27"/>
    </row>
    <row r="60" spans="2:28">
      <c r="B60" s="11">
        <v>50</v>
      </c>
      <c r="C60" s="1" t="s">
        <v>193</v>
      </c>
      <c r="D60" s="1" t="s">
        <v>194</v>
      </c>
      <c r="E60" s="1" t="s">
        <v>195</v>
      </c>
      <c r="F60" s="29" t="s">
        <v>39</v>
      </c>
      <c r="G60" s="11">
        <v>2023</v>
      </c>
      <c r="H60" s="16">
        <v>44985</v>
      </c>
      <c r="I60" s="16">
        <v>45350</v>
      </c>
      <c r="J60" s="11">
        <v>29312</v>
      </c>
      <c r="K60" s="12" t="s">
        <v>196</v>
      </c>
      <c r="L60" s="16">
        <v>45258</v>
      </c>
      <c r="M60" s="12" t="s">
        <v>190</v>
      </c>
      <c r="N60" s="11" t="s">
        <v>42</v>
      </c>
      <c r="O60" s="25">
        <v>259666.85</v>
      </c>
      <c r="P60" s="2">
        <v>100</v>
      </c>
      <c r="Q60" s="25">
        <v>259666.85</v>
      </c>
      <c r="R60" s="25">
        <v>232364.07158821501</v>
      </c>
      <c r="S60" s="25">
        <v>0</v>
      </c>
      <c r="T60" s="25">
        <v>27303</v>
      </c>
      <c r="U60" s="25">
        <v>-0.22158821500488557</v>
      </c>
      <c r="V60" s="18">
        <v>0</v>
      </c>
      <c r="W60" s="13">
        <v>20750</v>
      </c>
      <c r="X60" s="13">
        <v>0</v>
      </c>
      <c r="Y60" s="13">
        <f t="shared" si="1"/>
        <v>0</v>
      </c>
      <c r="Z60" s="13"/>
      <c r="AA60" s="31"/>
      <c r="AB60" s="27"/>
    </row>
    <row r="61" spans="2:28">
      <c r="B61" s="11">
        <v>51</v>
      </c>
      <c r="C61" s="1" t="s">
        <v>197</v>
      </c>
      <c r="D61" s="1" t="s">
        <v>198</v>
      </c>
      <c r="E61" s="1" t="s">
        <v>199</v>
      </c>
      <c r="F61" s="29" t="s">
        <v>39</v>
      </c>
      <c r="G61" s="11">
        <v>2023</v>
      </c>
      <c r="H61" s="16">
        <v>45252</v>
      </c>
      <c r="I61" s="16">
        <v>45618</v>
      </c>
      <c r="J61" s="11">
        <v>2929</v>
      </c>
      <c r="K61" s="12" t="s">
        <v>200</v>
      </c>
      <c r="L61" s="16">
        <v>45304</v>
      </c>
      <c r="M61" s="12" t="s">
        <v>190</v>
      </c>
      <c r="N61" s="11" t="s">
        <v>42</v>
      </c>
      <c r="O61" s="28">
        <v>65447247.25</v>
      </c>
      <c r="P61" s="2">
        <v>100</v>
      </c>
      <c r="Q61" s="25">
        <v>65447247.25</v>
      </c>
      <c r="R61" s="28">
        <v>5813233.7813219205</v>
      </c>
      <c r="S61" s="28">
        <v>0</v>
      </c>
      <c r="T61" s="28">
        <v>3016498</v>
      </c>
      <c r="U61" s="25">
        <v>56617515.46867808</v>
      </c>
      <c r="V61" s="18">
        <v>0</v>
      </c>
      <c r="W61" s="18">
        <v>2292538</v>
      </c>
      <c r="X61" s="13">
        <v>0</v>
      </c>
      <c r="Y61" s="13">
        <f t="shared" si="1"/>
        <v>0</v>
      </c>
      <c r="Z61" s="13"/>
      <c r="AA61" s="31"/>
      <c r="AB61" s="27"/>
    </row>
    <row r="62" spans="2:28">
      <c r="B62" s="11">
        <v>52</v>
      </c>
      <c r="C62" s="1" t="s">
        <v>201</v>
      </c>
      <c r="D62" s="1" t="s">
        <v>198</v>
      </c>
      <c r="E62" s="1" t="s">
        <v>199</v>
      </c>
      <c r="F62" s="29" t="s">
        <v>39</v>
      </c>
      <c r="G62" s="11">
        <v>2023</v>
      </c>
      <c r="H62" s="16">
        <v>45252</v>
      </c>
      <c r="I62" s="16">
        <v>45618</v>
      </c>
      <c r="J62" s="11">
        <v>2929</v>
      </c>
      <c r="K62" s="12" t="s">
        <v>200</v>
      </c>
      <c r="L62" s="16">
        <v>45265</v>
      </c>
      <c r="M62" s="12" t="s">
        <v>190</v>
      </c>
      <c r="N62" s="11" t="s">
        <v>42</v>
      </c>
      <c r="O62" s="28">
        <v>2411031</v>
      </c>
      <c r="P62" s="2">
        <v>100</v>
      </c>
      <c r="Q62" s="25">
        <v>2411031</v>
      </c>
      <c r="R62" s="28">
        <v>362128.51611365803</v>
      </c>
      <c r="S62" s="28">
        <v>0</v>
      </c>
      <c r="T62" s="28">
        <v>2048902</v>
      </c>
      <c r="U62" s="25">
        <v>0.48388634203001857</v>
      </c>
      <c r="V62" s="18">
        <v>0</v>
      </c>
      <c r="W62" s="18">
        <v>1557166</v>
      </c>
      <c r="X62" s="13">
        <v>0</v>
      </c>
      <c r="Y62" s="13">
        <f t="shared" si="1"/>
        <v>0</v>
      </c>
      <c r="Z62" s="13"/>
      <c r="AA62" s="31"/>
      <c r="AB62" s="27"/>
    </row>
    <row r="63" spans="2:28">
      <c r="B63" s="11">
        <v>53</v>
      </c>
      <c r="C63" s="1" t="s">
        <v>202</v>
      </c>
      <c r="D63" s="1" t="s">
        <v>198</v>
      </c>
      <c r="E63" s="1" t="s">
        <v>199</v>
      </c>
      <c r="F63" s="29" t="s">
        <v>39</v>
      </c>
      <c r="G63" s="11">
        <v>2023</v>
      </c>
      <c r="H63" s="16">
        <v>45252</v>
      </c>
      <c r="I63" s="16">
        <v>45618</v>
      </c>
      <c r="J63" s="11">
        <v>2929</v>
      </c>
      <c r="K63" s="12" t="s">
        <v>200</v>
      </c>
      <c r="L63" s="16">
        <v>45311</v>
      </c>
      <c r="M63" s="12" t="s">
        <v>190</v>
      </c>
      <c r="N63" s="11" t="s">
        <v>42</v>
      </c>
      <c r="O63" s="25">
        <v>3429345</v>
      </c>
      <c r="P63" s="2">
        <v>100</v>
      </c>
      <c r="Q63" s="25">
        <v>3429345</v>
      </c>
      <c r="R63" s="25">
        <v>279946.530612242</v>
      </c>
      <c r="S63" s="25">
        <v>0</v>
      </c>
      <c r="T63" s="25">
        <v>3149399</v>
      </c>
      <c r="U63" s="25">
        <v>-0.5306122419424355</v>
      </c>
      <c r="V63" s="18">
        <v>0</v>
      </c>
      <c r="W63" s="13">
        <v>2393543</v>
      </c>
      <c r="X63" s="13">
        <v>0</v>
      </c>
      <c r="Y63" s="13">
        <f t="shared" si="1"/>
        <v>0</v>
      </c>
      <c r="Z63" s="13"/>
      <c r="AA63" s="31"/>
      <c r="AB63" s="27"/>
    </row>
    <row r="64" spans="2:28">
      <c r="B64" s="11">
        <v>54</v>
      </c>
      <c r="C64" s="1" t="s">
        <v>203</v>
      </c>
      <c r="D64" s="1" t="s">
        <v>198</v>
      </c>
      <c r="E64" s="1" t="s">
        <v>199</v>
      </c>
      <c r="F64" s="29" t="s">
        <v>39</v>
      </c>
      <c r="G64" s="11">
        <v>2023</v>
      </c>
      <c r="H64" s="16">
        <v>45252</v>
      </c>
      <c r="I64" s="16">
        <v>45618</v>
      </c>
      <c r="J64" s="11">
        <v>2929</v>
      </c>
      <c r="K64" s="12" t="s">
        <v>200</v>
      </c>
      <c r="L64" s="16">
        <v>45405</v>
      </c>
      <c r="M64" s="12" t="s">
        <v>190</v>
      </c>
      <c r="N64" s="11" t="s">
        <v>42</v>
      </c>
      <c r="O64" s="28">
        <v>65447247.25</v>
      </c>
      <c r="P64" s="2">
        <v>100</v>
      </c>
      <c r="Q64" s="25">
        <v>65447247.25</v>
      </c>
      <c r="R64" s="28">
        <v>5813233.7813219205</v>
      </c>
      <c r="S64" s="28">
        <v>0</v>
      </c>
      <c r="T64" s="28">
        <v>29585941</v>
      </c>
      <c r="U64" s="25">
        <v>30048072.46867808</v>
      </c>
      <c r="V64" s="18">
        <v>0</v>
      </c>
      <c r="W64" s="18">
        <v>22485315</v>
      </c>
      <c r="X64" s="13">
        <v>17879966.600000001</v>
      </c>
      <c r="Y64" s="13">
        <f t="shared" si="1"/>
        <v>13588774.616</v>
      </c>
      <c r="Z64" s="13"/>
      <c r="AA64" s="31"/>
      <c r="AB64" s="27"/>
    </row>
    <row r="65" spans="2:28">
      <c r="B65" s="11">
        <v>55</v>
      </c>
      <c r="C65" s="1" t="s">
        <v>204</v>
      </c>
      <c r="D65" s="1" t="s">
        <v>198</v>
      </c>
      <c r="E65" s="1" t="s">
        <v>199</v>
      </c>
      <c r="F65" s="29" t="s">
        <v>39</v>
      </c>
      <c r="G65" s="11">
        <v>2023</v>
      </c>
      <c r="H65" s="16">
        <v>45252</v>
      </c>
      <c r="I65" s="16">
        <v>45618</v>
      </c>
      <c r="J65" s="11">
        <v>2929</v>
      </c>
      <c r="K65" s="12" t="s">
        <v>200</v>
      </c>
      <c r="L65" s="16">
        <v>45283</v>
      </c>
      <c r="M65" s="12" t="s">
        <v>190</v>
      </c>
      <c r="N65" s="11" t="s">
        <v>42</v>
      </c>
      <c r="O65" s="25">
        <v>65447247.25</v>
      </c>
      <c r="P65" s="2">
        <v>100</v>
      </c>
      <c r="Q65" s="25">
        <v>65447247.25</v>
      </c>
      <c r="R65" s="25">
        <v>5813233.7813219205</v>
      </c>
      <c r="S65" s="25">
        <v>0</v>
      </c>
      <c r="T65" s="25">
        <v>16170661</v>
      </c>
      <c r="U65" s="25">
        <v>43463352.46867808</v>
      </c>
      <c r="V65" s="18">
        <v>0</v>
      </c>
      <c r="W65" s="13">
        <v>12289703</v>
      </c>
      <c r="X65" s="13">
        <v>21252992.75</v>
      </c>
      <c r="Y65" s="13">
        <f t="shared" si="1"/>
        <v>16152274.49</v>
      </c>
      <c r="Z65" s="13"/>
      <c r="AA65" s="31"/>
      <c r="AB65" s="27"/>
    </row>
    <row r="66" spans="2:28">
      <c r="B66" s="11">
        <v>56</v>
      </c>
      <c r="C66" s="1" t="s">
        <v>205</v>
      </c>
      <c r="D66" s="1" t="s">
        <v>198</v>
      </c>
      <c r="E66" s="1" t="s">
        <v>199</v>
      </c>
      <c r="F66" s="29" t="s">
        <v>39</v>
      </c>
      <c r="G66" s="11">
        <v>2023</v>
      </c>
      <c r="H66" s="16">
        <v>45252</v>
      </c>
      <c r="I66" s="16">
        <v>45618</v>
      </c>
      <c r="J66" s="11">
        <v>2929</v>
      </c>
      <c r="K66" s="12" t="s">
        <v>200</v>
      </c>
      <c r="L66" s="16">
        <v>45281</v>
      </c>
      <c r="M66" s="12" t="s">
        <v>190</v>
      </c>
      <c r="N66" s="11" t="s">
        <v>42</v>
      </c>
      <c r="O66" s="25">
        <v>65447247.25</v>
      </c>
      <c r="P66" s="2">
        <v>100</v>
      </c>
      <c r="Q66" s="25">
        <v>65447247.25</v>
      </c>
      <c r="R66" s="25">
        <v>5813233.7813219205</v>
      </c>
      <c r="S66" s="25">
        <v>0</v>
      </c>
      <c r="T66" s="25">
        <v>10860913</v>
      </c>
      <c r="U66" s="25">
        <v>48773100.46867808</v>
      </c>
      <c r="V66" s="18">
        <v>0</v>
      </c>
      <c r="W66" s="13">
        <v>8254294</v>
      </c>
      <c r="X66" s="13">
        <v>58130344.75</v>
      </c>
      <c r="Y66" s="13">
        <f t="shared" si="1"/>
        <v>44179062.009999998</v>
      </c>
      <c r="Z66" s="13"/>
      <c r="AA66" s="31"/>
      <c r="AB66" s="27"/>
    </row>
    <row r="67" spans="2:28">
      <c r="B67" s="11">
        <v>57</v>
      </c>
      <c r="C67" s="1" t="s">
        <v>206</v>
      </c>
      <c r="D67" s="1" t="s">
        <v>207</v>
      </c>
      <c r="E67" s="1" t="s">
        <v>208</v>
      </c>
      <c r="F67" s="29" t="s">
        <v>39</v>
      </c>
      <c r="G67" s="11">
        <v>2023</v>
      </c>
      <c r="H67" s="16">
        <v>45240</v>
      </c>
      <c r="I67" s="16">
        <v>45787</v>
      </c>
      <c r="J67" s="11">
        <v>29371</v>
      </c>
      <c r="K67" s="12" t="s">
        <v>142</v>
      </c>
      <c r="L67" s="16">
        <v>45582</v>
      </c>
      <c r="M67" s="12" t="s">
        <v>190</v>
      </c>
      <c r="N67" s="11" t="s">
        <v>42</v>
      </c>
      <c r="O67" s="25">
        <v>56573245.049999997</v>
      </c>
      <c r="P67" s="2">
        <v>100</v>
      </c>
      <c r="Q67" s="25">
        <v>56573245.049999997</v>
      </c>
      <c r="R67" s="25">
        <v>6622190.0886817304</v>
      </c>
      <c r="S67" s="25">
        <v>0</v>
      </c>
      <c r="T67" s="25">
        <v>49951055</v>
      </c>
      <c r="U67" s="25">
        <v>-3.8681730628013611E-2</v>
      </c>
      <c r="V67" s="18">
        <v>0</v>
      </c>
      <c r="W67" s="13">
        <v>37962802</v>
      </c>
      <c r="X67" s="13">
        <v>0</v>
      </c>
      <c r="Y67" s="13">
        <f t="shared" si="1"/>
        <v>0</v>
      </c>
      <c r="Z67" s="13"/>
      <c r="AA67" s="31"/>
      <c r="AB67" s="27"/>
    </row>
    <row r="68" spans="2:28">
      <c r="B68" s="11">
        <v>58</v>
      </c>
      <c r="C68" s="1" t="s">
        <v>209</v>
      </c>
      <c r="D68" s="1" t="s">
        <v>210</v>
      </c>
      <c r="E68" s="1" t="s">
        <v>211</v>
      </c>
      <c r="F68" s="29" t="s">
        <v>39</v>
      </c>
      <c r="G68" s="11">
        <v>2024</v>
      </c>
      <c r="H68" s="16">
        <v>45495</v>
      </c>
      <c r="I68" s="16">
        <v>45860</v>
      </c>
      <c r="J68" s="11">
        <v>29412</v>
      </c>
      <c r="K68" s="12" t="s">
        <v>212</v>
      </c>
      <c r="L68" s="16">
        <v>45699</v>
      </c>
      <c r="M68" s="12" t="s">
        <v>213</v>
      </c>
      <c r="N68" s="11" t="s">
        <v>42</v>
      </c>
      <c r="O68" s="25">
        <v>43020310</v>
      </c>
      <c r="P68" s="2">
        <v>100</v>
      </c>
      <c r="Q68" s="25">
        <v>43020310</v>
      </c>
      <c r="R68" s="25">
        <v>41190727.606069997</v>
      </c>
      <c r="S68" s="25">
        <v>0</v>
      </c>
      <c r="T68" s="25">
        <v>1417676</v>
      </c>
      <c r="U68" s="25">
        <v>411906.39393000305</v>
      </c>
      <c r="V68" s="18">
        <v>0</v>
      </c>
      <c r="W68" s="13">
        <v>1290084</v>
      </c>
      <c r="X68" s="13">
        <v>0</v>
      </c>
      <c r="Y68" s="13">
        <f t="shared" ref="Y68:Y94" si="2">X68*91%</f>
        <v>0</v>
      </c>
      <c r="Z68" s="13"/>
      <c r="AA68" s="31"/>
      <c r="AB68" s="27"/>
    </row>
    <row r="69" spans="2:28">
      <c r="B69" s="11">
        <v>59</v>
      </c>
      <c r="C69" s="1" t="s">
        <v>214</v>
      </c>
      <c r="D69" s="1" t="s">
        <v>215</v>
      </c>
      <c r="E69" s="1" t="s">
        <v>216</v>
      </c>
      <c r="F69" s="29" t="s">
        <v>39</v>
      </c>
      <c r="G69" s="11">
        <v>2024</v>
      </c>
      <c r="H69" s="16">
        <v>45350</v>
      </c>
      <c r="I69" s="16">
        <v>47176</v>
      </c>
      <c r="J69" s="11">
        <v>2734</v>
      </c>
      <c r="K69" s="12" t="s">
        <v>108</v>
      </c>
      <c r="L69" s="16">
        <v>45695</v>
      </c>
      <c r="M69" s="12" t="s">
        <v>213</v>
      </c>
      <c r="N69" s="11" t="s">
        <v>42</v>
      </c>
      <c r="O69" s="28">
        <v>241422879</v>
      </c>
      <c r="P69" s="2">
        <v>100</v>
      </c>
      <c r="Q69" s="25">
        <v>241422879</v>
      </c>
      <c r="R69" s="28">
        <v>168996015.30000001</v>
      </c>
      <c r="S69" s="28">
        <v>0</v>
      </c>
      <c r="T69" s="28">
        <v>66391290</v>
      </c>
      <c r="U69" s="25">
        <v>6035573.6999999881</v>
      </c>
      <c r="V69" s="18">
        <v>0</v>
      </c>
      <c r="W69" s="18">
        <v>60416075</v>
      </c>
      <c r="X69" s="13">
        <v>0</v>
      </c>
      <c r="Y69" s="13">
        <f t="shared" si="2"/>
        <v>0</v>
      </c>
      <c r="Z69" s="13"/>
      <c r="AA69" s="31"/>
      <c r="AB69" s="27"/>
    </row>
    <row r="70" spans="2:28">
      <c r="B70" s="11">
        <v>60</v>
      </c>
      <c r="C70" s="1" t="s">
        <v>217</v>
      </c>
      <c r="D70" s="1" t="s">
        <v>218</v>
      </c>
      <c r="E70" s="1" t="s">
        <v>219</v>
      </c>
      <c r="F70" s="29" t="s">
        <v>39</v>
      </c>
      <c r="G70" s="11">
        <v>2024</v>
      </c>
      <c r="H70" s="16">
        <v>45323</v>
      </c>
      <c r="I70" s="16">
        <v>45689</v>
      </c>
      <c r="J70" s="11">
        <v>2623</v>
      </c>
      <c r="K70" s="12" t="s">
        <v>220</v>
      </c>
      <c r="L70" s="16">
        <v>45590</v>
      </c>
      <c r="M70" s="12" t="s">
        <v>221</v>
      </c>
      <c r="N70" s="11" t="s">
        <v>42</v>
      </c>
      <c r="O70" s="25">
        <v>-45750750</v>
      </c>
      <c r="P70" s="2">
        <v>75</v>
      </c>
      <c r="Q70" s="25">
        <v>-34313062.5</v>
      </c>
      <c r="R70" s="25">
        <v>-17135112.359550599</v>
      </c>
      <c r="S70" s="25">
        <v>0</v>
      </c>
      <c r="T70" s="25">
        <v>-28358611</v>
      </c>
      <c r="U70" s="25">
        <v>-257026.64044940099</v>
      </c>
      <c r="V70" s="18">
        <v>0</v>
      </c>
      <c r="W70" s="13">
        <v>-25806336</v>
      </c>
      <c r="X70" s="13">
        <v>869486995</v>
      </c>
      <c r="Y70" s="13">
        <f t="shared" si="2"/>
        <v>791233165.45000005</v>
      </c>
      <c r="Z70" s="13"/>
      <c r="AA70" s="31"/>
      <c r="AB70" s="27"/>
    </row>
    <row r="71" spans="2:28">
      <c r="B71" s="11">
        <v>61</v>
      </c>
      <c r="C71" s="1" t="s">
        <v>222</v>
      </c>
      <c r="D71" s="1" t="s">
        <v>223</v>
      </c>
      <c r="E71" s="1" t="s">
        <v>224</v>
      </c>
      <c r="F71" s="29" t="s">
        <v>39</v>
      </c>
      <c r="G71" s="11">
        <v>2024</v>
      </c>
      <c r="H71" s="16">
        <v>45535</v>
      </c>
      <c r="I71" s="16">
        <v>46022</v>
      </c>
      <c r="J71" s="11">
        <v>2790</v>
      </c>
      <c r="K71" s="12" t="s">
        <v>225</v>
      </c>
      <c r="L71" s="16">
        <v>45601</v>
      </c>
      <c r="M71" s="12" t="s">
        <v>221</v>
      </c>
      <c r="N71" s="11" t="s">
        <v>42</v>
      </c>
      <c r="O71" s="25">
        <v>35265646.649999999</v>
      </c>
      <c r="P71" s="2">
        <v>65</v>
      </c>
      <c r="Q71" s="25">
        <v>22922670.322500002</v>
      </c>
      <c r="R71" s="25">
        <v>542548.40999999398</v>
      </c>
      <c r="S71" s="25">
        <v>0</v>
      </c>
      <c r="T71" s="25">
        <v>6266434</v>
      </c>
      <c r="U71" s="25">
        <v>28456664.240000002</v>
      </c>
      <c r="V71" s="18">
        <v>0</v>
      </c>
      <c r="W71" s="13">
        <v>5702454</v>
      </c>
      <c r="X71" s="13">
        <v>0</v>
      </c>
      <c r="Y71" s="13">
        <f t="shared" si="2"/>
        <v>0</v>
      </c>
      <c r="Z71" s="13"/>
      <c r="AA71" s="31"/>
      <c r="AB71" s="27"/>
    </row>
    <row r="72" spans="2:28">
      <c r="B72" s="11">
        <v>62</v>
      </c>
      <c r="C72" s="1" t="s">
        <v>226</v>
      </c>
      <c r="D72" s="1" t="s">
        <v>227</v>
      </c>
      <c r="E72" s="1" t="s">
        <v>228</v>
      </c>
      <c r="F72" s="29" t="s">
        <v>39</v>
      </c>
      <c r="G72" s="11">
        <v>2024</v>
      </c>
      <c r="H72" s="16">
        <v>45400</v>
      </c>
      <c r="I72" s="16">
        <v>45765</v>
      </c>
      <c r="J72" s="11">
        <v>2341</v>
      </c>
      <c r="K72" s="12" t="s">
        <v>229</v>
      </c>
      <c r="L72" s="16">
        <v>45595</v>
      </c>
      <c r="M72" s="12" t="s">
        <v>41</v>
      </c>
      <c r="N72" s="11" t="s">
        <v>42</v>
      </c>
      <c r="O72" s="25">
        <v>5709644</v>
      </c>
      <c r="P72" s="2">
        <v>10</v>
      </c>
      <c r="Q72" s="25">
        <v>570964.4</v>
      </c>
      <c r="R72" s="25">
        <v>3065694.9690281199</v>
      </c>
      <c r="S72" s="25">
        <v>0</v>
      </c>
      <c r="T72" s="25">
        <v>2638109</v>
      </c>
      <c r="U72" s="25">
        <v>5840.0309718800709</v>
      </c>
      <c r="V72" s="18">
        <v>0</v>
      </c>
      <c r="W72" s="13">
        <v>2400680</v>
      </c>
      <c r="X72" s="13">
        <v>0</v>
      </c>
      <c r="Y72" s="13">
        <f t="shared" si="2"/>
        <v>0</v>
      </c>
      <c r="Z72" s="13"/>
      <c r="AA72" s="31"/>
      <c r="AB72" s="27"/>
    </row>
    <row r="73" spans="2:28">
      <c r="B73" s="11">
        <v>63</v>
      </c>
      <c r="C73" s="1" t="s">
        <v>230</v>
      </c>
      <c r="D73" s="1" t="s">
        <v>231</v>
      </c>
      <c r="E73" s="1" t="s">
        <v>232</v>
      </c>
      <c r="F73" s="29" t="s">
        <v>39</v>
      </c>
      <c r="G73" s="11">
        <v>2024</v>
      </c>
      <c r="H73" s="16">
        <v>45344</v>
      </c>
      <c r="I73" s="16">
        <v>45710</v>
      </c>
      <c r="J73" s="11">
        <v>2133</v>
      </c>
      <c r="K73" s="12" t="s">
        <v>233</v>
      </c>
      <c r="L73" s="16">
        <v>45388</v>
      </c>
      <c r="M73" s="12" t="s">
        <v>41</v>
      </c>
      <c r="N73" s="11" t="s">
        <v>42</v>
      </c>
      <c r="O73" s="25">
        <v>21683651.09</v>
      </c>
      <c r="P73" s="2">
        <v>10</v>
      </c>
      <c r="Q73" s="25">
        <v>2168365.1090000002</v>
      </c>
      <c r="R73" s="25">
        <v>20761826.014936801</v>
      </c>
      <c r="S73" s="25">
        <v>0</v>
      </c>
      <c r="T73" s="25">
        <v>894143</v>
      </c>
      <c r="U73" s="25">
        <v>27682.075063198805</v>
      </c>
      <c r="V73" s="18">
        <v>0</v>
      </c>
      <c r="W73" s="13">
        <v>813670</v>
      </c>
      <c r="X73" s="13">
        <v>0</v>
      </c>
      <c r="Y73" s="13">
        <f t="shared" si="2"/>
        <v>0</v>
      </c>
      <c r="Z73" s="13"/>
      <c r="AA73" s="31"/>
      <c r="AB73" s="27"/>
    </row>
    <row r="74" spans="2:28">
      <c r="B74" s="11">
        <v>64</v>
      </c>
      <c r="C74" s="1" t="s">
        <v>234</v>
      </c>
      <c r="D74" s="1" t="s">
        <v>235</v>
      </c>
      <c r="E74" s="1" t="s">
        <v>236</v>
      </c>
      <c r="F74" s="29" t="s">
        <v>39</v>
      </c>
      <c r="G74" s="11">
        <v>2024</v>
      </c>
      <c r="H74" s="16">
        <v>45626</v>
      </c>
      <c r="I74" s="16">
        <v>45991</v>
      </c>
      <c r="J74" s="11">
        <v>2751</v>
      </c>
      <c r="K74" s="12" t="s">
        <v>237</v>
      </c>
      <c r="L74" s="16">
        <v>45673</v>
      </c>
      <c r="M74" s="12" t="s">
        <v>41</v>
      </c>
      <c r="N74" s="11" t="s">
        <v>42</v>
      </c>
      <c r="O74" s="25">
        <v>1370404.8</v>
      </c>
      <c r="P74" s="2">
        <v>5</v>
      </c>
      <c r="Q74" s="25">
        <v>68520.240000000005</v>
      </c>
      <c r="R74" s="25">
        <v>560294.74861491204</v>
      </c>
      <c r="S74" s="25">
        <v>0</v>
      </c>
      <c r="T74" s="25">
        <v>115627</v>
      </c>
      <c r="U74" s="25">
        <v>694483.05138508801</v>
      </c>
      <c r="V74" s="18">
        <v>0</v>
      </c>
      <c r="W74" s="13">
        <v>105220</v>
      </c>
      <c r="X74" s="13">
        <v>0</v>
      </c>
      <c r="Y74" s="13">
        <f t="shared" si="2"/>
        <v>0</v>
      </c>
      <c r="Z74" s="13"/>
      <c r="AA74" s="31"/>
      <c r="AB74" s="27"/>
    </row>
    <row r="75" spans="2:28">
      <c r="B75" s="11">
        <v>65</v>
      </c>
      <c r="C75" s="1" t="s">
        <v>238</v>
      </c>
      <c r="D75" s="1" t="s">
        <v>235</v>
      </c>
      <c r="E75" s="1" t="s">
        <v>236</v>
      </c>
      <c r="F75" s="29" t="s">
        <v>39</v>
      </c>
      <c r="G75" s="11">
        <v>2024</v>
      </c>
      <c r="H75" s="16">
        <v>45626</v>
      </c>
      <c r="I75" s="16">
        <v>45991</v>
      </c>
      <c r="J75" s="11">
        <v>2751</v>
      </c>
      <c r="K75" s="12" t="s">
        <v>237</v>
      </c>
      <c r="L75" s="16">
        <v>45705</v>
      </c>
      <c r="M75" s="12" t="s">
        <v>41</v>
      </c>
      <c r="N75" s="11" t="s">
        <v>42</v>
      </c>
      <c r="O75" s="25">
        <v>1370404.8</v>
      </c>
      <c r="P75" s="2">
        <v>5</v>
      </c>
      <c r="Q75" s="25">
        <v>68520.240000000005</v>
      </c>
      <c r="R75" s="25">
        <v>560294.74861491204</v>
      </c>
      <c r="S75" s="25">
        <v>0</v>
      </c>
      <c r="T75" s="25">
        <v>114481</v>
      </c>
      <c r="U75" s="25">
        <v>695629.05138508801</v>
      </c>
      <c r="V75" s="18">
        <v>0</v>
      </c>
      <c r="W75" s="13">
        <v>104177</v>
      </c>
      <c r="X75" s="13">
        <v>0</v>
      </c>
      <c r="Y75" s="13">
        <f t="shared" si="2"/>
        <v>0</v>
      </c>
      <c r="Z75" s="13"/>
      <c r="AA75" s="31"/>
      <c r="AB75" s="27"/>
    </row>
    <row r="76" spans="2:28">
      <c r="B76" s="11">
        <v>66</v>
      </c>
      <c r="C76" s="1" t="s">
        <v>239</v>
      </c>
      <c r="D76" s="1" t="s">
        <v>235</v>
      </c>
      <c r="E76" s="1" t="s">
        <v>236</v>
      </c>
      <c r="F76" s="29" t="s">
        <v>39</v>
      </c>
      <c r="G76" s="11">
        <v>2024</v>
      </c>
      <c r="H76" s="16">
        <v>45626</v>
      </c>
      <c r="I76" s="16">
        <v>45991</v>
      </c>
      <c r="J76" s="11">
        <v>2751</v>
      </c>
      <c r="K76" s="12" t="s">
        <v>237</v>
      </c>
      <c r="L76" s="16">
        <v>45743</v>
      </c>
      <c r="M76" s="12" t="s">
        <v>41</v>
      </c>
      <c r="N76" s="11" t="s">
        <v>42</v>
      </c>
      <c r="O76" s="25">
        <v>1370404.8</v>
      </c>
      <c r="P76" s="2">
        <v>5</v>
      </c>
      <c r="Q76" s="25">
        <v>68520.240000000005</v>
      </c>
      <c r="R76" s="25">
        <v>560294.74861491204</v>
      </c>
      <c r="S76" s="25">
        <v>0</v>
      </c>
      <c r="T76" s="25">
        <v>116609</v>
      </c>
      <c r="U76" s="25">
        <v>693501.05138508801</v>
      </c>
      <c r="V76" s="18">
        <v>0</v>
      </c>
      <c r="W76" s="13">
        <v>106115</v>
      </c>
      <c r="X76" s="13">
        <v>0</v>
      </c>
      <c r="Y76" s="13">
        <f t="shared" si="2"/>
        <v>0</v>
      </c>
      <c r="Z76" s="13"/>
      <c r="AA76" s="31"/>
      <c r="AB76" s="27"/>
    </row>
    <row r="77" spans="2:28">
      <c r="B77" s="11">
        <v>67</v>
      </c>
      <c r="C77" s="1" t="s">
        <v>240</v>
      </c>
      <c r="D77" s="1" t="s">
        <v>235</v>
      </c>
      <c r="E77" s="1" t="s">
        <v>236</v>
      </c>
      <c r="F77" s="29" t="s">
        <v>39</v>
      </c>
      <c r="G77" s="11">
        <v>2024</v>
      </c>
      <c r="H77" s="16">
        <v>45626</v>
      </c>
      <c r="I77" s="16">
        <v>45991</v>
      </c>
      <c r="J77" s="11">
        <v>2751</v>
      </c>
      <c r="K77" s="12" t="s">
        <v>237</v>
      </c>
      <c r="L77" s="16">
        <v>45750</v>
      </c>
      <c r="M77" s="12" t="s">
        <v>41</v>
      </c>
      <c r="N77" s="11" t="s">
        <v>42</v>
      </c>
      <c r="O77" s="25">
        <v>1370404.8</v>
      </c>
      <c r="P77" s="2">
        <v>5</v>
      </c>
      <c r="Q77" s="25">
        <v>68520.240000000005</v>
      </c>
      <c r="R77" s="25">
        <v>560294.74861491204</v>
      </c>
      <c r="S77" s="25">
        <v>0</v>
      </c>
      <c r="T77" s="25">
        <v>116455</v>
      </c>
      <c r="U77" s="25">
        <v>693655.05138508801</v>
      </c>
      <c r="V77" s="18">
        <v>0</v>
      </c>
      <c r="W77" s="13">
        <v>105974</v>
      </c>
      <c r="X77" s="13">
        <v>0</v>
      </c>
      <c r="Y77" s="13">
        <f t="shared" si="2"/>
        <v>0</v>
      </c>
      <c r="Z77" s="13"/>
      <c r="AA77" s="31"/>
      <c r="AB77" s="27"/>
    </row>
    <row r="78" spans="2:28">
      <c r="B78" s="11">
        <v>68</v>
      </c>
      <c r="C78" s="1" t="s">
        <v>241</v>
      </c>
      <c r="D78" s="1" t="s">
        <v>235</v>
      </c>
      <c r="E78" s="1" t="s">
        <v>236</v>
      </c>
      <c r="F78" s="29" t="s">
        <v>39</v>
      </c>
      <c r="G78" s="11">
        <v>2024</v>
      </c>
      <c r="H78" s="16">
        <v>45626</v>
      </c>
      <c r="I78" s="16">
        <v>45991</v>
      </c>
      <c r="J78" s="11">
        <v>2751</v>
      </c>
      <c r="K78" s="12" t="s">
        <v>237</v>
      </c>
      <c r="L78" s="16">
        <v>45752</v>
      </c>
      <c r="M78" s="12" t="s">
        <v>41</v>
      </c>
      <c r="N78" s="11" t="s">
        <v>42</v>
      </c>
      <c r="O78" s="25">
        <v>1370404.8</v>
      </c>
      <c r="P78" s="2">
        <v>5</v>
      </c>
      <c r="Q78" s="25">
        <v>68520.240000000005</v>
      </c>
      <c r="R78" s="25">
        <v>560294.74861491204</v>
      </c>
      <c r="S78" s="25">
        <v>0</v>
      </c>
      <c r="T78" s="25">
        <v>116455</v>
      </c>
      <c r="U78" s="25">
        <v>693655.05138508801</v>
      </c>
      <c r="V78" s="18">
        <v>0</v>
      </c>
      <c r="W78" s="13">
        <v>105974</v>
      </c>
      <c r="X78" s="13">
        <v>0</v>
      </c>
      <c r="Y78" s="13">
        <f t="shared" si="2"/>
        <v>0</v>
      </c>
      <c r="Z78" s="13"/>
      <c r="AA78" s="31"/>
      <c r="AB78" s="27"/>
    </row>
    <row r="79" spans="2:28">
      <c r="B79" s="11">
        <v>69</v>
      </c>
      <c r="C79" s="1" t="s">
        <v>242</v>
      </c>
      <c r="D79" s="1" t="s">
        <v>235</v>
      </c>
      <c r="E79" s="1" t="s">
        <v>236</v>
      </c>
      <c r="F79" s="29" t="s">
        <v>39</v>
      </c>
      <c r="G79" s="11">
        <v>2024</v>
      </c>
      <c r="H79" s="16">
        <v>45626</v>
      </c>
      <c r="I79" s="16">
        <v>45991</v>
      </c>
      <c r="J79" s="11">
        <v>2751</v>
      </c>
      <c r="K79" s="12" t="s">
        <v>237</v>
      </c>
      <c r="L79" s="16">
        <v>45722</v>
      </c>
      <c r="M79" s="12" t="s">
        <v>41</v>
      </c>
      <c r="N79" s="11" t="s">
        <v>42</v>
      </c>
      <c r="O79" s="25">
        <v>1370404.8</v>
      </c>
      <c r="P79" s="2">
        <v>5</v>
      </c>
      <c r="Q79" s="25">
        <v>68520.240000000005</v>
      </c>
      <c r="R79" s="25">
        <v>560294.74861491204</v>
      </c>
      <c r="S79" s="25">
        <v>0</v>
      </c>
      <c r="T79" s="25">
        <v>115085</v>
      </c>
      <c r="U79" s="25">
        <v>695025.05138508801</v>
      </c>
      <c r="V79" s="18">
        <v>0</v>
      </c>
      <c r="W79" s="13">
        <v>104727</v>
      </c>
      <c r="X79" s="13">
        <v>0</v>
      </c>
      <c r="Y79" s="13">
        <f t="shared" si="2"/>
        <v>0</v>
      </c>
      <c r="Z79" s="13"/>
      <c r="AA79" s="31"/>
      <c r="AB79" s="27"/>
    </row>
    <row r="80" spans="2:28">
      <c r="B80" s="11">
        <v>70</v>
      </c>
      <c r="C80" s="1" t="s">
        <v>243</v>
      </c>
      <c r="D80" s="1" t="s">
        <v>235</v>
      </c>
      <c r="E80" s="1" t="s">
        <v>236</v>
      </c>
      <c r="F80" s="29" t="s">
        <v>39</v>
      </c>
      <c r="G80" s="11">
        <v>2024</v>
      </c>
      <c r="H80" s="16">
        <v>45626</v>
      </c>
      <c r="I80" s="16">
        <v>45991</v>
      </c>
      <c r="J80" s="11">
        <v>2751</v>
      </c>
      <c r="K80" s="12" t="s">
        <v>237</v>
      </c>
      <c r="L80" s="16">
        <v>45726</v>
      </c>
      <c r="M80" s="12" t="s">
        <v>41</v>
      </c>
      <c r="N80" s="11" t="s">
        <v>42</v>
      </c>
      <c r="O80" s="25">
        <v>1370404.8</v>
      </c>
      <c r="P80" s="2">
        <v>5</v>
      </c>
      <c r="Q80" s="25">
        <v>68520.240000000005</v>
      </c>
      <c r="R80" s="25">
        <v>560294.74861491204</v>
      </c>
      <c r="S80" s="25">
        <v>0</v>
      </c>
      <c r="T80" s="25">
        <v>114839</v>
      </c>
      <c r="U80" s="25">
        <v>695271.05138508801</v>
      </c>
      <c r="V80" s="18">
        <v>0</v>
      </c>
      <c r="W80" s="13">
        <v>104503</v>
      </c>
      <c r="X80" s="13">
        <v>0</v>
      </c>
      <c r="Y80" s="13">
        <f t="shared" si="2"/>
        <v>0</v>
      </c>
      <c r="Z80" s="13"/>
      <c r="AA80" s="31"/>
      <c r="AB80" s="27"/>
    </row>
    <row r="81" spans="2:28">
      <c r="B81" s="11">
        <v>71</v>
      </c>
      <c r="C81" s="1" t="s">
        <v>244</v>
      </c>
      <c r="D81" s="1" t="s">
        <v>245</v>
      </c>
      <c r="E81" s="1" t="s">
        <v>246</v>
      </c>
      <c r="F81" s="29" t="s">
        <v>39</v>
      </c>
      <c r="G81" s="11">
        <v>2024</v>
      </c>
      <c r="H81" s="16">
        <v>45350</v>
      </c>
      <c r="I81" s="16">
        <v>45716</v>
      </c>
      <c r="J81" s="11">
        <v>2975</v>
      </c>
      <c r="K81" s="12" t="s">
        <v>247</v>
      </c>
      <c r="L81" s="16">
        <v>45474</v>
      </c>
      <c r="M81" s="12" t="s">
        <v>41</v>
      </c>
      <c r="N81" s="11" t="s">
        <v>42</v>
      </c>
      <c r="O81" s="25">
        <v>77972907.625</v>
      </c>
      <c r="P81" s="2">
        <v>12.5</v>
      </c>
      <c r="Q81" s="25">
        <v>9746613.453125</v>
      </c>
      <c r="R81" s="25">
        <v>13490122.4264706</v>
      </c>
      <c r="S81" s="25">
        <v>0</v>
      </c>
      <c r="T81" s="25">
        <v>64460302</v>
      </c>
      <c r="U81" s="25">
        <v>22483.198529399931</v>
      </c>
      <c r="V81" s="18">
        <v>0</v>
      </c>
      <c r="W81" s="13">
        <v>58658875</v>
      </c>
      <c r="X81" s="13">
        <v>0</v>
      </c>
      <c r="Y81" s="13">
        <f t="shared" si="2"/>
        <v>0</v>
      </c>
      <c r="Z81" s="13"/>
      <c r="AA81" s="31"/>
      <c r="AB81" s="27"/>
    </row>
    <row r="82" spans="2:28">
      <c r="B82" s="11">
        <v>72</v>
      </c>
      <c r="C82" s="1" t="s">
        <v>248</v>
      </c>
      <c r="D82" s="1" t="s">
        <v>249</v>
      </c>
      <c r="E82" s="1" t="s">
        <v>250</v>
      </c>
      <c r="F82" s="29" t="s">
        <v>39</v>
      </c>
      <c r="G82" s="11">
        <v>2024</v>
      </c>
      <c r="H82" s="16">
        <v>45350</v>
      </c>
      <c r="I82" s="16">
        <v>45716</v>
      </c>
      <c r="J82" s="11">
        <v>2975</v>
      </c>
      <c r="K82" s="12" t="s">
        <v>251</v>
      </c>
      <c r="L82" s="16">
        <v>45446</v>
      </c>
      <c r="M82" s="12" t="s">
        <v>41</v>
      </c>
      <c r="N82" s="11" t="s">
        <v>42</v>
      </c>
      <c r="O82" s="25">
        <v>2122500</v>
      </c>
      <c r="P82" s="2">
        <v>12.5</v>
      </c>
      <c r="Q82" s="25">
        <v>265312.5</v>
      </c>
      <c r="R82" s="25">
        <v>273782.65075789002</v>
      </c>
      <c r="S82" s="25">
        <v>0</v>
      </c>
      <c r="T82" s="25">
        <v>912213</v>
      </c>
      <c r="U82" s="25">
        <v>936504.34924211004</v>
      </c>
      <c r="V82" s="18">
        <v>0</v>
      </c>
      <c r="W82" s="13">
        <v>830114</v>
      </c>
      <c r="X82" s="13">
        <v>0</v>
      </c>
      <c r="Y82" s="13">
        <f t="shared" si="2"/>
        <v>0</v>
      </c>
      <c r="Z82" s="13"/>
      <c r="AA82" s="31"/>
      <c r="AB82" s="27"/>
    </row>
    <row r="83" spans="2:28">
      <c r="B83" s="11">
        <v>73</v>
      </c>
      <c r="C83" s="1" t="s">
        <v>252</v>
      </c>
      <c r="D83" s="1" t="s">
        <v>249</v>
      </c>
      <c r="E83" s="1" t="s">
        <v>250</v>
      </c>
      <c r="F83" s="29" t="s">
        <v>39</v>
      </c>
      <c r="G83" s="11">
        <v>2024</v>
      </c>
      <c r="H83" s="16">
        <v>45350</v>
      </c>
      <c r="I83" s="16">
        <v>45716</v>
      </c>
      <c r="J83" s="11">
        <v>2975</v>
      </c>
      <c r="K83" s="12" t="s">
        <v>251</v>
      </c>
      <c r="L83" s="16">
        <v>45447</v>
      </c>
      <c r="M83" s="12" t="s">
        <v>41</v>
      </c>
      <c r="N83" s="11" t="s">
        <v>42</v>
      </c>
      <c r="O83" s="25">
        <v>2122500</v>
      </c>
      <c r="P83" s="2">
        <v>12.5</v>
      </c>
      <c r="Q83" s="25">
        <v>265312.5</v>
      </c>
      <c r="R83" s="25">
        <v>273782.65075789002</v>
      </c>
      <c r="S83" s="25">
        <v>0</v>
      </c>
      <c r="T83" s="25">
        <v>936161</v>
      </c>
      <c r="U83" s="25">
        <v>912556.34924211004</v>
      </c>
      <c r="V83" s="18">
        <v>0</v>
      </c>
      <c r="W83" s="13">
        <v>851907</v>
      </c>
      <c r="X83" s="13">
        <v>0</v>
      </c>
      <c r="Y83" s="13">
        <f t="shared" si="2"/>
        <v>0</v>
      </c>
      <c r="Z83" s="13"/>
      <c r="AA83" s="31"/>
      <c r="AB83" s="27"/>
    </row>
    <row r="84" spans="2:28">
      <c r="B84" s="11">
        <v>74</v>
      </c>
      <c r="C84" s="1" t="s">
        <v>253</v>
      </c>
      <c r="D84" s="1" t="s">
        <v>254</v>
      </c>
      <c r="E84" s="1" t="s">
        <v>255</v>
      </c>
      <c r="F84" s="29" t="s">
        <v>39</v>
      </c>
      <c r="G84" s="11">
        <v>2024</v>
      </c>
      <c r="H84" s="16">
        <v>45504</v>
      </c>
      <c r="I84" s="16">
        <v>45869</v>
      </c>
      <c r="J84" s="11">
        <v>2708</v>
      </c>
      <c r="K84" s="12" t="s">
        <v>256</v>
      </c>
      <c r="L84" s="16">
        <v>45673</v>
      </c>
      <c r="M84" s="12" t="s">
        <v>41</v>
      </c>
      <c r="N84" s="11" t="s">
        <v>42</v>
      </c>
      <c r="O84" s="28">
        <v>23998770.800000001</v>
      </c>
      <c r="P84" s="2">
        <v>5</v>
      </c>
      <c r="Q84" s="25">
        <v>1199938.54</v>
      </c>
      <c r="R84" s="28">
        <v>12904717.472706201</v>
      </c>
      <c r="S84" s="28">
        <v>0</v>
      </c>
      <c r="T84" s="28">
        <v>11081148</v>
      </c>
      <c r="U84" s="25">
        <v>12905.32729380019</v>
      </c>
      <c r="V84" s="18">
        <v>0</v>
      </c>
      <c r="W84" s="18">
        <v>10083845</v>
      </c>
      <c r="X84" s="13">
        <v>0</v>
      </c>
      <c r="Y84" s="13">
        <f t="shared" si="2"/>
        <v>0</v>
      </c>
      <c r="Z84" s="13"/>
      <c r="AA84" s="31"/>
      <c r="AB84" s="27"/>
    </row>
    <row r="85" spans="2:28">
      <c r="B85" s="11">
        <v>75</v>
      </c>
      <c r="C85" s="1" t="s">
        <v>257</v>
      </c>
      <c r="D85" s="1" t="s">
        <v>258</v>
      </c>
      <c r="E85" s="1" t="s">
        <v>259</v>
      </c>
      <c r="F85" s="29" t="s">
        <v>39</v>
      </c>
      <c r="G85" s="11">
        <v>2024</v>
      </c>
      <c r="H85" s="16">
        <v>45505</v>
      </c>
      <c r="I85" s="16">
        <v>46022</v>
      </c>
      <c r="J85" s="11">
        <v>29313</v>
      </c>
      <c r="K85" s="12" t="s">
        <v>260</v>
      </c>
      <c r="L85" s="16">
        <v>45515</v>
      </c>
      <c r="M85" s="12" t="s">
        <v>41</v>
      </c>
      <c r="N85" s="11" t="s">
        <v>42</v>
      </c>
      <c r="O85" s="25">
        <v>1824162</v>
      </c>
      <c r="P85" s="2">
        <v>11.5</v>
      </c>
      <c r="Q85" s="25">
        <v>209778.63</v>
      </c>
      <c r="R85" s="25">
        <v>1754656.3018986799</v>
      </c>
      <c r="S85" s="25">
        <v>0</v>
      </c>
      <c r="T85" s="25">
        <v>66814.999999999898</v>
      </c>
      <c r="U85" s="25">
        <v>2690.698101320173</v>
      </c>
      <c r="V85" s="18">
        <v>0</v>
      </c>
      <c r="W85" s="13">
        <v>60801.999999999898</v>
      </c>
      <c r="X85" s="13">
        <v>0</v>
      </c>
      <c r="Y85" s="13">
        <f t="shared" si="2"/>
        <v>0</v>
      </c>
      <c r="Z85" s="13"/>
      <c r="AA85" s="31"/>
      <c r="AB85" s="27"/>
    </row>
    <row r="86" spans="2:28">
      <c r="B86" s="11">
        <v>76</v>
      </c>
      <c r="C86" s="1" t="s">
        <v>261</v>
      </c>
      <c r="D86" s="1" t="s">
        <v>262</v>
      </c>
      <c r="E86" s="1" t="s">
        <v>263</v>
      </c>
      <c r="F86" s="29" t="s">
        <v>39</v>
      </c>
      <c r="G86" s="11">
        <v>2024</v>
      </c>
      <c r="H86" s="16">
        <v>45491</v>
      </c>
      <c r="I86" s="16">
        <v>45992</v>
      </c>
      <c r="J86" s="11">
        <v>29313</v>
      </c>
      <c r="K86" s="12" t="s">
        <v>264</v>
      </c>
      <c r="L86" s="16">
        <v>45703</v>
      </c>
      <c r="M86" s="12" t="s">
        <v>41</v>
      </c>
      <c r="N86" s="11" t="s">
        <v>42</v>
      </c>
      <c r="O86" s="28">
        <v>1930000</v>
      </c>
      <c r="P86" s="2">
        <v>10</v>
      </c>
      <c r="Q86" s="25">
        <v>193000</v>
      </c>
      <c r="R86" s="28">
        <v>1148809.5238095201</v>
      </c>
      <c r="S86" s="28">
        <v>0</v>
      </c>
      <c r="T86" s="28">
        <v>779658</v>
      </c>
      <c r="U86" s="25">
        <v>1532.4761904799379</v>
      </c>
      <c r="V86" s="18">
        <v>0</v>
      </c>
      <c r="W86" s="18">
        <v>709489</v>
      </c>
      <c r="X86" s="13">
        <v>0</v>
      </c>
      <c r="Y86" s="13">
        <f t="shared" si="2"/>
        <v>0</v>
      </c>
      <c r="Z86" s="13"/>
      <c r="AA86" s="31"/>
      <c r="AB86" s="27"/>
    </row>
    <row r="87" spans="2:28">
      <c r="B87" s="11">
        <v>77</v>
      </c>
      <c r="C87" s="1" t="s">
        <v>265</v>
      </c>
      <c r="D87" s="1" t="s">
        <v>266</v>
      </c>
      <c r="E87" s="1" t="s">
        <v>267</v>
      </c>
      <c r="F87" s="29" t="s">
        <v>39</v>
      </c>
      <c r="G87" s="11">
        <v>2024</v>
      </c>
      <c r="H87" s="16">
        <v>45585</v>
      </c>
      <c r="I87" s="16">
        <v>45950</v>
      </c>
      <c r="J87" s="11">
        <v>2511</v>
      </c>
      <c r="K87" s="12" t="s">
        <v>268</v>
      </c>
      <c r="L87" s="16">
        <v>45667</v>
      </c>
      <c r="M87" s="12" t="s">
        <v>41</v>
      </c>
      <c r="N87" s="11" t="s">
        <v>42</v>
      </c>
      <c r="O87" s="25">
        <v>54444441.338</v>
      </c>
      <c r="P87" s="2">
        <v>10</v>
      </c>
      <c r="Q87" s="25">
        <v>5444444.1338</v>
      </c>
      <c r="R87" s="25">
        <v>23267999.258938</v>
      </c>
      <c r="S87" s="25">
        <v>0</v>
      </c>
      <c r="T87" s="25">
        <v>31132121</v>
      </c>
      <c r="U87" s="25">
        <v>44321.079061999917</v>
      </c>
      <c r="V87" s="18">
        <v>0</v>
      </c>
      <c r="W87" s="13">
        <v>28330231</v>
      </c>
      <c r="X87" s="13">
        <v>0</v>
      </c>
      <c r="Y87" s="13">
        <f t="shared" si="2"/>
        <v>0</v>
      </c>
      <c r="Z87" s="13"/>
      <c r="AA87" s="31"/>
      <c r="AB87" s="27"/>
    </row>
    <row r="88" spans="2:28">
      <c r="B88" s="11">
        <v>78</v>
      </c>
      <c r="C88" s="1" t="s">
        <v>269</v>
      </c>
      <c r="D88" s="1" t="s">
        <v>270</v>
      </c>
      <c r="E88" s="1" t="s">
        <v>271</v>
      </c>
      <c r="F88" s="29" t="s">
        <v>39</v>
      </c>
      <c r="G88" s="11">
        <v>2024</v>
      </c>
      <c r="H88" s="16">
        <v>45657</v>
      </c>
      <c r="I88" s="16">
        <v>46022</v>
      </c>
      <c r="J88" s="11">
        <v>23002</v>
      </c>
      <c r="K88" s="12" t="s">
        <v>159</v>
      </c>
      <c r="L88" s="16">
        <v>45659</v>
      </c>
      <c r="M88" s="12" t="s">
        <v>41</v>
      </c>
      <c r="N88" s="11" t="s">
        <v>42</v>
      </c>
      <c r="O88" s="28">
        <v>9301613.8000000007</v>
      </c>
      <c r="P88" s="2">
        <v>20</v>
      </c>
      <c r="Q88" s="25">
        <v>1860322.7600000002</v>
      </c>
      <c r="R88" s="28">
        <v>3274042.5303792399</v>
      </c>
      <c r="S88" s="28">
        <v>0</v>
      </c>
      <c r="T88" s="28">
        <v>6021022</v>
      </c>
      <c r="U88" s="25">
        <v>6549.2696207612753</v>
      </c>
      <c r="V88" s="18">
        <v>0</v>
      </c>
      <c r="W88" s="18">
        <v>5479131</v>
      </c>
      <c r="X88" s="13">
        <v>0</v>
      </c>
      <c r="Y88" s="13">
        <f t="shared" si="2"/>
        <v>0</v>
      </c>
      <c r="Z88" s="13"/>
      <c r="AA88" s="31"/>
      <c r="AB88" s="27"/>
    </row>
    <row r="89" spans="2:28">
      <c r="B89" s="11">
        <v>79</v>
      </c>
      <c r="C89" s="1" t="s">
        <v>272</v>
      </c>
      <c r="D89" s="1" t="s">
        <v>273</v>
      </c>
      <c r="E89" s="1" t="s">
        <v>274</v>
      </c>
      <c r="F89" s="29" t="s">
        <v>39</v>
      </c>
      <c r="G89" s="11">
        <v>2024</v>
      </c>
      <c r="H89" s="16">
        <v>45444</v>
      </c>
      <c r="I89" s="16">
        <v>45992</v>
      </c>
      <c r="J89" s="11">
        <v>2975</v>
      </c>
      <c r="K89" s="12" t="s">
        <v>275</v>
      </c>
      <c r="L89" s="16">
        <v>45680</v>
      </c>
      <c r="M89" s="12" t="s">
        <v>41</v>
      </c>
      <c r="N89" s="11" t="s">
        <v>42</v>
      </c>
      <c r="O89" s="25">
        <v>2368060.5</v>
      </c>
      <c r="P89" s="2">
        <v>10</v>
      </c>
      <c r="Q89" s="25">
        <v>236806.05000000002</v>
      </c>
      <c r="R89" s="25">
        <v>1281418.0194805199</v>
      </c>
      <c r="S89" s="25">
        <v>0</v>
      </c>
      <c r="T89" s="25">
        <v>1084935</v>
      </c>
      <c r="U89" s="25">
        <v>1707.480519480072</v>
      </c>
      <c r="V89" s="18">
        <v>0</v>
      </c>
      <c r="W89" s="13">
        <v>987290</v>
      </c>
      <c r="X89" s="13">
        <v>0</v>
      </c>
      <c r="Y89" s="13">
        <f t="shared" si="2"/>
        <v>0</v>
      </c>
      <c r="Z89" s="13"/>
      <c r="AA89" s="31"/>
      <c r="AB89" s="27"/>
    </row>
    <row r="90" spans="2:28">
      <c r="B90" s="11">
        <v>80</v>
      </c>
      <c r="C90" s="1" t="s">
        <v>276</v>
      </c>
      <c r="D90" s="1" t="s">
        <v>277</v>
      </c>
      <c r="E90" s="1" t="s">
        <v>278</v>
      </c>
      <c r="F90" s="29" t="s">
        <v>39</v>
      </c>
      <c r="G90" s="11">
        <v>2024</v>
      </c>
      <c r="H90" s="16">
        <v>45444</v>
      </c>
      <c r="I90" s="16">
        <v>45992</v>
      </c>
      <c r="J90" s="11">
        <v>2972</v>
      </c>
      <c r="K90" s="12" t="s">
        <v>275</v>
      </c>
      <c r="L90" s="16">
        <v>45559</v>
      </c>
      <c r="M90" s="12" t="s">
        <v>41</v>
      </c>
      <c r="N90" s="11" t="s">
        <v>42</v>
      </c>
      <c r="O90" s="25">
        <v>4866373.2</v>
      </c>
      <c r="P90" s="2">
        <v>10</v>
      </c>
      <c r="Q90" s="25">
        <v>486637.32000000007</v>
      </c>
      <c r="R90" s="25">
        <v>1042794.25714286</v>
      </c>
      <c r="S90" s="25">
        <v>0</v>
      </c>
      <c r="T90" s="25">
        <v>3822189</v>
      </c>
      <c r="U90" s="25">
        <v>1389.9428571402095</v>
      </c>
      <c r="V90" s="18">
        <v>0</v>
      </c>
      <c r="W90" s="13">
        <v>3478192</v>
      </c>
      <c r="X90" s="13">
        <v>0</v>
      </c>
      <c r="Y90" s="13">
        <f t="shared" si="2"/>
        <v>0</v>
      </c>
      <c r="Z90" s="13"/>
      <c r="AA90" s="31"/>
      <c r="AB90" s="27"/>
    </row>
    <row r="91" spans="2:28">
      <c r="B91" s="11">
        <v>81</v>
      </c>
      <c r="C91" s="1" t="s">
        <v>279</v>
      </c>
      <c r="D91" s="1" t="s">
        <v>280</v>
      </c>
      <c r="E91" s="1" t="s">
        <v>281</v>
      </c>
      <c r="F91" s="29" t="s">
        <v>39</v>
      </c>
      <c r="G91" s="11">
        <v>2024</v>
      </c>
      <c r="H91" s="16">
        <v>45580</v>
      </c>
      <c r="I91" s="16">
        <v>45992</v>
      </c>
      <c r="J91" s="11">
        <v>2972</v>
      </c>
      <c r="K91" s="12" t="s">
        <v>282</v>
      </c>
      <c r="L91" s="16">
        <v>45734</v>
      </c>
      <c r="M91" s="12" t="s">
        <v>41</v>
      </c>
      <c r="N91" s="11" t="s">
        <v>42</v>
      </c>
      <c r="O91" s="25">
        <v>187310.5</v>
      </c>
      <c r="P91" s="2">
        <v>10</v>
      </c>
      <c r="Q91" s="25">
        <v>18731.05</v>
      </c>
      <c r="R91" s="25">
        <v>122894.26800881499</v>
      </c>
      <c r="S91" s="25">
        <v>0</v>
      </c>
      <c r="T91" s="25">
        <v>64253</v>
      </c>
      <c r="U91" s="25">
        <v>163.23199118500634</v>
      </c>
      <c r="V91" s="18">
        <v>0</v>
      </c>
      <c r="W91" s="13">
        <v>58470</v>
      </c>
      <c r="X91" s="13">
        <v>0</v>
      </c>
      <c r="Y91" s="13">
        <f t="shared" si="2"/>
        <v>0</v>
      </c>
      <c r="Z91" s="13"/>
      <c r="AA91" s="31"/>
      <c r="AB91" s="27"/>
    </row>
    <row r="92" spans="2:28">
      <c r="B92" s="11">
        <v>82</v>
      </c>
      <c r="C92" s="1" t="s">
        <v>283</v>
      </c>
      <c r="D92" s="1" t="s">
        <v>284</v>
      </c>
      <c r="E92" s="1" t="s">
        <v>285</v>
      </c>
      <c r="F92" s="29" t="s">
        <v>39</v>
      </c>
      <c r="G92" s="11">
        <v>2024</v>
      </c>
      <c r="H92" s="16">
        <v>45494</v>
      </c>
      <c r="I92" s="16">
        <v>45859</v>
      </c>
      <c r="J92" s="11">
        <v>2413</v>
      </c>
      <c r="K92" s="12" t="s">
        <v>286</v>
      </c>
      <c r="L92" s="16">
        <v>45605</v>
      </c>
      <c r="M92" s="12" t="s">
        <v>41</v>
      </c>
      <c r="N92" s="11" t="s">
        <v>42</v>
      </c>
      <c r="O92" s="25">
        <v>5709632.9500000002</v>
      </c>
      <c r="P92" s="2">
        <v>5</v>
      </c>
      <c r="Q92" s="25">
        <v>285481.64750000002</v>
      </c>
      <c r="R92" s="25">
        <v>1406660.83625803</v>
      </c>
      <c r="S92" s="25">
        <v>0</v>
      </c>
      <c r="T92" s="25">
        <v>4294935</v>
      </c>
      <c r="U92" s="25">
        <v>8037.1137419696897</v>
      </c>
      <c r="V92" s="18">
        <v>0</v>
      </c>
      <c r="W92" s="13">
        <v>3908390</v>
      </c>
      <c r="X92" s="13">
        <v>3274488.3</v>
      </c>
      <c r="Y92" s="13">
        <f t="shared" si="2"/>
        <v>2979784.3530000001</v>
      </c>
      <c r="Z92" s="13"/>
      <c r="AA92" s="31"/>
      <c r="AB92" s="27"/>
    </row>
    <row r="93" spans="2:28">
      <c r="B93" s="11">
        <v>83</v>
      </c>
      <c r="C93" s="1" t="s">
        <v>287</v>
      </c>
      <c r="D93" s="1" t="s">
        <v>288</v>
      </c>
      <c r="E93" s="1" t="s">
        <v>289</v>
      </c>
      <c r="F93" s="29" t="s">
        <v>39</v>
      </c>
      <c r="G93" s="11">
        <v>2024</v>
      </c>
      <c r="H93" s="16">
        <v>45489</v>
      </c>
      <c r="I93" s="16">
        <v>45854</v>
      </c>
      <c r="J93" s="11">
        <v>2578</v>
      </c>
      <c r="K93" s="12" t="s">
        <v>290</v>
      </c>
      <c r="L93" s="16">
        <v>45591</v>
      </c>
      <c r="M93" s="12" t="s">
        <v>41</v>
      </c>
      <c r="N93" s="11" t="s">
        <v>42</v>
      </c>
      <c r="O93" s="25">
        <v>49229562.450000003</v>
      </c>
      <c r="P93" s="2">
        <v>15</v>
      </c>
      <c r="Q93" s="25">
        <v>7384434.3675000006</v>
      </c>
      <c r="R93" s="25">
        <v>36387423.048115402</v>
      </c>
      <c r="S93" s="25">
        <v>0</v>
      </c>
      <c r="T93" s="25">
        <v>12738175</v>
      </c>
      <c r="U93" s="25">
        <v>103964.40188460052</v>
      </c>
      <c r="V93" s="18">
        <v>0</v>
      </c>
      <c r="W93" s="13">
        <v>11591740</v>
      </c>
      <c r="X93" s="13">
        <v>0</v>
      </c>
      <c r="Y93" s="13">
        <f t="shared" si="2"/>
        <v>0</v>
      </c>
      <c r="Z93" s="13"/>
      <c r="AA93" s="31"/>
      <c r="AB93" s="27"/>
    </row>
    <row r="94" spans="2:28">
      <c r="B94" s="11">
        <v>84</v>
      </c>
      <c r="C94" s="1" t="s">
        <v>291</v>
      </c>
      <c r="D94" s="1" t="s">
        <v>292</v>
      </c>
      <c r="E94" s="1" t="s">
        <v>293</v>
      </c>
      <c r="F94" s="29" t="s">
        <v>39</v>
      </c>
      <c r="G94" s="11">
        <v>2024</v>
      </c>
      <c r="H94" s="16">
        <v>45543</v>
      </c>
      <c r="I94" s="16">
        <v>45908</v>
      </c>
      <c r="J94" s="11">
        <v>2232</v>
      </c>
      <c r="K94" s="12" t="s">
        <v>294</v>
      </c>
      <c r="L94" s="16">
        <v>45642</v>
      </c>
      <c r="M94" s="12" t="s">
        <v>41</v>
      </c>
      <c r="N94" s="11" t="s">
        <v>42</v>
      </c>
      <c r="O94" s="28">
        <v>8134350.2000000002</v>
      </c>
      <c r="P94" s="2">
        <v>10</v>
      </c>
      <c r="Q94" s="25">
        <v>813435.02</v>
      </c>
      <c r="R94" s="28">
        <v>3722670.4618957299</v>
      </c>
      <c r="S94" s="28">
        <v>0</v>
      </c>
      <c r="T94" s="28">
        <v>4406716</v>
      </c>
      <c r="U94" s="25">
        <v>4963.7381042707711</v>
      </c>
      <c r="V94" s="18">
        <v>0</v>
      </c>
      <c r="W94" s="18">
        <v>4010112</v>
      </c>
      <c r="X94" s="13">
        <v>0</v>
      </c>
      <c r="Y94" s="13">
        <f t="shared" si="2"/>
        <v>0</v>
      </c>
      <c r="Z94" s="13"/>
      <c r="AA94" s="31"/>
      <c r="AB94" s="27"/>
    </row>
    <row r="95" spans="2:28">
      <c r="B95" s="11">
        <v>85</v>
      </c>
      <c r="C95" s="1" t="s">
        <v>295</v>
      </c>
      <c r="D95" s="1" t="s">
        <v>296</v>
      </c>
      <c r="E95" s="1" t="s">
        <v>297</v>
      </c>
      <c r="F95" s="29" t="s">
        <v>39</v>
      </c>
      <c r="G95" s="11">
        <v>2025</v>
      </c>
      <c r="H95" s="16">
        <v>45671</v>
      </c>
      <c r="I95" s="16">
        <v>46036</v>
      </c>
      <c r="J95" s="11">
        <v>2976</v>
      </c>
      <c r="K95" s="12" t="s">
        <v>298</v>
      </c>
      <c r="L95" s="16">
        <v>45739</v>
      </c>
      <c r="M95" s="12" t="s">
        <v>213</v>
      </c>
      <c r="N95" s="11" t="s">
        <v>42</v>
      </c>
      <c r="O95" s="28">
        <v>9549000</v>
      </c>
      <c r="P95" s="2">
        <v>100</v>
      </c>
      <c r="Q95" s="25">
        <v>9549000</v>
      </c>
      <c r="R95" s="28">
        <v>6517192.5</v>
      </c>
      <c r="S95" s="28">
        <v>2793083</v>
      </c>
      <c r="T95" s="28">
        <v>0</v>
      </c>
      <c r="U95" s="25">
        <v>238724.5</v>
      </c>
      <c r="V95" s="25">
        <v>2709290</v>
      </c>
      <c r="W95" s="18">
        <v>0</v>
      </c>
      <c r="X95" s="13">
        <v>0</v>
      </c>
      <c r="Y95" s="13">
        <f>X95*97%</f>
        <v>0</v>
      </c>
      <c r="Z95" s="13"/>
      <c r="AA95" s="31"/>
      <c r="AB95" s="27"/>
    </row>
    <row r="96" spans="2:28">
      <c r="B96" s="11">
        <v>86</v>
      </c>
      <c r="C96" s="1" t="s">
        <v>299</v>
      </c>
      <c r="D96" s="1" t="s">
        <v>300</v>
      </c>
      <c r="E96" s="1" t="s">
        <v>301</v>
      </c>
      <c r="F96" s="29" t="s">
        <v>39</v>
      </c>
      <c r="G96" s="11">
        <v>2025</v>
      </c>
      <c r="H96" s="16">
        <v>45682</v>
      </c>
      <c r="I96" s="16">
        <v>46046</v>
      </c>
      <c r="J96" s="11">
        <v>29371</v>
      </c>
      <c r="K96" s="12" t="s">
        <v>302</v>
      </c>
      <c r="L96" s="16">
        <v>45714</v>
      </c>
      <c r="M96" s="12" t="s">
        <v>213</v>
      </c>
      <c r="N96" s="11" t="s">
        <v>42</v>
      </c>
      <c r="O96" s="25">
        <v>100406165</v>
      </c>
      <c r="P96" s="2">
        <v>100</v>
      </c>
      <c r="Q96" s="25">
        <v>100406165</v>
      </c>
      <c r="R96" s="25">
        <v>68527207.612499997</v>
      </c>
      <c r="S96" s="25">
        <v>29368803</v>
      </c>
      <c r="T96" s="25">
        <v>0</v>
      </c>
      <c r="U96" s="25">
        <v>2510154.387500003</v>
      </c>
      <c r="V96" s="25">
        <v>28487739</v>
      </c>
      <c r="W96" s="13">
        <v>0</v>
      </c>
      <c r="X96" s="13">
        <v>0</v>
      </c>
      <c r="Y96" s="13">
        <f>X96*97%</f>
        <v>0</v>
      </c>
      <c r="Z96" s="13"/>
      <c r="AA96" s="31"/>
      <c r="AB96" s="27"/>
    </row>
    <row r="97" spans="6:23">
      <c r="F97"/>
      <c r="O97" s="21"/>
      <c r="Q97" s="22"/>
      <c r="R97" s="22"/>
      <c r="S97" s="22"/>
      <c r="T97" s="22"/>
      <c r="U97" s="23"/>
      <c r="V97" s="23"/>
      <c r="W97" s="24"/>
    </row>
    <row r="98" spans="6:23">
      <c r="F98"/>
      <c r="O98" s="21"/>
      <c r="Q98" s="22"/>
      <c r="R98" s="22"/>
      <c r="S98" s="22"/>
      <c r="T98" s="22"/>
      <c r="V98" s="17">
        <f>SUBTOTAL(9,V11:V96)</f>
        <v>31197029</v>
      </c>
      <c r="W98" s="17">
        <f>SUBTOTAL(9,W11:W96)</f>
        <v>1137264273.71</v>
      </c>
    </row>
    <row r="99" spans="6:23">
      <c r="F99"/>
      <c r="O99" s="21"/>
      <c r="Q99" s="22"/>
      <c r="R99" s="22"/>
      <c r="S99" s="22"/>
      <c r="T99" s="22"/>
    </row>
    <row r="100" spans="6:23">
      <c r="F100"/>
    </row>
    <row r="101" spans="6:23">
      <c r="F101"/>
      <c r="G101"/>
      <c r="N101"/>
    </row>
    <row r="102" spans="6:23">
      <c r="F102"/>
      <c r="G102"/>
      <c r="N102"/>
    </row>
    <row r="103" spans="6:23">
      <c r="F103"/>
      <c r="G103"/>
      <c r="N103"/>
    </row>
    <row r="104" spans="6:23">
      <c r="F104"/>
      <c r="G104"/>
      <c r="N104"/>
    </row>
    <row r="105" spans="6:23">
      <c r="F105"/>
      <c r="G105"/>
      <c r="N105"/>
    </row>
    <row r="106" spans="6:23">
      <c r="F106"/>
      <c r="G106"/>
      <c r="N106"/>
    </row>
    <row r="107" spans="6:23">
      <c r="F107"/>
      <c r="G107"/>
    </row>
    <row r="108" spans="6:23">
      <c r="F108"/>
      <c r="G108"/>
    </row>
    <row r="109" spans="6:23">
      <c r="F109"/>
      <c r="G109"/>
    </row>
    <row r="110" spans="6:23">
      <c r="F110"/>
      <c r="G110"/>
    </row>
    <row r="111" spans="6:23">
      <c r="F111"/>
      <c r="G111"/>
      <c r="L111"/>
      <c r="N111"/>
    </row>
    <row r="112" spans="6:23">
      <c r="F112"/>
      <c r="G112"/>
      <c r="L112"/>
      <c r="N112"/>
    </row>
    <row r="113" spans="6:14">
      <c r="F113"/>
      <c r="G113"/>
      <c r="L113"/>
      <c r="N113"/>
    </row>
    <row r="114" spans="6:14">
      <c r="F114"/>
      <c r="G114"/>
      <c r="L114"/>
      <c r="N114"/>
    </row>
    <row r="115" spans="6:14">
      <c r="F115"/>
      <c r="G115"/>
      <c r="L115"/>
      <c r="N115"/>
    </row>
    <row r="116" spans="6:14">
      <c r="F116"/>
      <c r="G116"/>
      <c r="L116"/>
      <c r="N116"/>
    </row>
    <row r="117" spans="6:14">
      <c r="F117"/>
      <c r="G117"/>
      <c r="L117"/>
      <c r="N117"/>
    </row>
    <row r="118" spans="6:14">
      <c r="F118"/>
      <c r="G118"/>
    </row>
    <row r="119" spans="6:14">
      <c r="F119"/>
      <c r="G119"/>
    </row>
    <row r="120" spans="6:14">
      <c r="F120"/>
      <c r="G120"/>
    </row>
    <row r="121" spans="6:14">
      <c r="F121"/>
      <c r="G121"/>
    </row>
    <row r="122" spans="6:14">
      <c r="F122"/>
      <c r="G122"/>
    </row>
    <row r="123" spans="6:14">
      <c r="F123"/>
      <c r="G123"/>
    </row>
    <row r="124" spans="6:14">
      <c r="F124"/>
      <c r="G124"/>
    </row>
    <row r="125" spans="6:14">
      <c r="F125"/>
      <c r="G125"/>
    </row>
    <row r="126" spans="6:14">
      <c r="F126"/>
      <c r="G126"/>
    </row>
    <row r="127" spans="6:14">
      <c r="F127"/>
      <c r="G127"/>
    </row>
    <row r="128" spans="6:14">
      <c r="F128"/>
      <c r="G128"/>
    </row>
    <row r="129" spans="6:7">
      <c r="F129"/>
      <c r="G129"/>
    </row>
    <row r="130" spans="6:7">
      <c r="F130"/>
      <c r="G130"/>
    </row>
    <row r="131" spans="6:7">
      <c r="F131"/>
      <c r="G131"/>
    </row>
    <row r="132" spans="6:7">
      <c r="F132"/>
      <c r="G132"/>
    </row>
    <row r="133" spans="6:7">
      <c r="F133"/>
      <c r="G133"/>
    </row>
    <row r="134" spans="6:7">
      <c r="F134"/>
      <c r="G134"/>
    </row>
    <row r="135" spans="6:7">
      <c r="F135"/>
      <c r="G135"/>
    </row>
    <row r="136" spans="6:7">
      <c r="F136"/>
      <c r="G136"/>
    </row>
    <row r="137" spans="6:7">
      <c r="F137"/>
      <c r="G137"/>
    </row>
    <row r="138" spans="6:7">
      <c r="F138"/>
      <c r="G138"/>
    </row>
    <row r="139" spans="6:7">
      <c r="F139"/>
      <c r="G139"/>
    </row>
    <row r="140" spans="6:7">
      <c r="F140"/>
      <c r="G140"/>
    </row>
    <row r="141" spans="6:7">
      <c r="F141"/>
      <c r="G141"/>
    </row>
    <row r="142" spans="6:7">
      <c r="F142"/>
      <c r="G142"/>
    </row>
    <row r="143" spans="6:7">
      <c r="F143"/>
      <c r="G143"/>
    </row>
    <row r="144" spans="6:7">
      <c r="F144"/>
      <c r="G144"/>
    </row>
    <row r="145" spans="6:7">
      <c r="F145"/>
      <c r="G145"/>
    </row>
    <row r="146" spans="6:7">
      <c r="F146"/>
      <c r="G146"/>
    </row>
    <row r="147" spans="6:7">
      <c r="F147"/>
      <c r="G147"/>
    </row>
    <row r="148" spans="6:7">
      <c r="F148"/>
      <c r="G148"/>
    </row>
    <row r="149" spans="6:7">
      <c r="F149"/>
      <c r="G149"/>
    </row>
    <row r="150" spans="6:7">
      <c r="F150"/>
      <c r="G150"/>
    </row>
    <row r="151" spans="6:7">
      <c r="F151"/>
      <c r="G151"/>
    </row>
    <row r="152" spans="6:7">
      <c r="F152"/>
      <c r="G152"/>
    </row>
    <row r="153" spans="6:7">
      <c r="F153"/>
      <c r="G153"/>
    </row>
    <row r="154" spans="6:7">
      <c r="F154"/>
      <c r="G154"/>
    </row>
    <row r="155" spans="6:7">
      <c r="F155"/>
      <c r="G155"/>
    </row>
    <row r="156" spans="6:7">
      <c r="F156"/>
      <c r="G156"/>
    </row>
    <row r="157" spans="6:7">
      <c r="F157"/>
      <c r="G157"/>
    </row>
    <row r="158" spans="6:7">
      <c r="F158"/>
      <c r="G158"/>
    </row>
    <row r="159" spans="6:7">
      <c r="F159"/>
      <c r="G159"/>
    </row>
    <row r="160" spans="6: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6:7">
      <c r="F273"/>
      <c r="G273"/>
    </row>
    <row r="274" spans="6:7">
      <c r="F274"/>
      <c r="G274"/>
    </row>
    <row r="275" spans="6:7">
      <c r="F275"/>
      <c r="G275"/>
    </row>
    <row r="276" spans="6:7">
      <c r="F276"/>
      <c r="G276"/>
    </row>
    <row r="277" spans="6:7">
      <c r="F277"/>
      <c r="G277"/>
    </row>
    <row r="278" spans="6:7">
      <c r="F278"/>
      <c r="G278"/>
    </row>
    <row r="279" spans="6:7">
      <c r="F279"/>
      <c r="G279"/>
    </row>
    <row r="280" spans="6:7">
      <c r="F280"/>
      <c r="G280"/>
    </row>
    <row r="281" spans="6:7">
      <c r="F281"/>
      <c r="G281"/>
    </row>
    <row r="282" spans="6:7">
      <c r="F282"/>
      <c r="G282"/>
    </row>
    <row r="283" spans="6:7">
      <c r="F283"/>
      <c r="G283"/>
    </row>
    <row r="284" spans="6:7">
      <c r="F284"/>
      <c r="G284"/>
    </row>
    <row r="285" spans="6:7">
      <c r="F285"/>
      <c r="G285"/>
    </row>
    <row r="286" spans="6:7">
      <c r="F286"/>
      <c r="G286"/>
    </row>
    <row r="287" spans="6:7">
      <c r="F287"/>
      <c r="G287"/>
    </row>
    <row r="288" spans="6:7">
      <c r="F288"/>
      <c r="G288"/>
    </row>
    <row r="289" spans="6:7">
      <c r="F289"/>
      <c r="G289"/>
    </row>
  </sheetData>
  <autoFilter ref="B9:Z96" xr:uid="{00000000-0001-0000-0100-000000000000}">
    <filterColumn colId="6" showButton="0"/>
    <filterColumn colId="14" showButton="0"/>
    <filterColumn colId="16" showButton="0"/>
    <filterColumn colId="17" showButton="0"/>
    <filterColumn colId="18" showButton="0"/>
  </autoFilter>
  <mergeCells count="20">
    <mergeCell ref="Z9:Z10"/>
    <mergeCell ref="H9:I9"/>
    <mergeCell ref="N9:N10"/>
    <mergeCell ref="O9:O10"/>
    <mergeCell ref="P9:Q9"/>
    <mergeCell ref="L9:L10"/>
    <mergeCell ref="J9:J10"/>
    <mergeCell ref="K9:K10"/>
    <mergeCell ref="V9:V10"/>
    <mergeCell ref="G9:G10"/>
    <mergeCell ref="W9:W10"/>
    <mergeCell ref="X9:X10"/>
    <mergeCell ref="Y9:Y10"/>
    <mergeCell ref="B9:B10"/>
    <mergeCell ref="C9:C10"/>
    <mergeCell ref="D9:D10"/>
    <mergeCell ref="E9:E10"/>
    <mergeCell ref="F9:F10"/>
    <mergeCell ref="M9:M10"/>
    <mergeCell ref="R9:U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0DF8-F25C-4C92-ABBB-A459EAAAEADA}">
  <sheetPr>
    <tabColor rgb="FF00B050"/>
  </sheetPr>
  <dimension ref="B2:AB288"/>
  <sheetViews>
    <sheetView showGridLines="0" zoomScale="70" zoomScaleNormal="70" workbookViewId="0">
      <pane xSplit="7" ySplit="10" topLeftCell="H11" activePane="bottomRight" state="frozen"/>
      <selection pane="bottomRight" activeCell="B11" sqref="B11"/>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9" width="16.140625" customWidth="1"/>
    <col min="20" max="20" width="17.7109375" customWidth="1"/>
    <col min="21" max="22" width="18.85546875" customWidth="1"/>
    <col min="23" max="23" width="17.7109375" bestFit="1" customWidth="1"/>
    <col min="24" max="24" width="23.28515625" bestFit="1" customWidth="1"/>
    <col min="25" max="25" width="19.85546875" customWidth="1"/>
    <col min="26" max="26" width="21" customWidth="1"/>
    <col min="27" max="27" width="18.85546875" bestFit="1" customWidth="1"/>
  </cols>
  <sheetData>
    <row r="2" spans="2:28" ht="18">
      <c r="B2" s="8" t="s">
        <v>0</v>
      </c>
    </row>
    <row r="3" spans="2:28">
      <c r="B3" s="7" t="s">
        <v>1</v>
      </c>
      <c r="D3" s="9" t="s">
        <v>2</v>
      </c>
      <c r="E3" s="6"/>
    </row>
    <row r="4" spans="2:28">
      <c r="B4" s="7" t="s">
        <v>3</v>
      </c>
      <c r="D4" s="10" t="s">
        <v>303</v>
      </c>
      <c r="E4" s="5"/>
    </row>
    <row r="5" spans="2:28">
      <c r="B5" s="7" t="s">
        <v>6</v>
      </c>
      <c r="D5" s="10" t="s">
        <v>7</v>
      </c>
      <c r="E5" s="5"/>
    </row>
    <row r="7" spans="2:28">
      <c r="X7" s="19"/>
    </row>
    <row r="8" spans="2:28">
      <c r="G8"/>
      <c r="H8"/>
      <c r="I8"/>
      <c r="J8"/>
      <c r="L8"/>
      <c r="N8"/>
      <c r="T8" s="19"/>
    </row>
    <row r="9" spans="2:28"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23</v>
      </c>
      <c r="W9" s="37" t="s">
        <v>24</v>
      </c>
      <c r="X9" s="37" t="s">
        <v>25</v>
      </c>
      <c r="Y9" s="37" t="s">
        <v>26</v>
      </c>
      <c r="Z9" s="37" t="s">
        <v>27</v>
      </c>
    </row>
    <row r="10" spans="2:28"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c r="Z10" s="37"/>
    </row>
    <row r="11" spans="2:28" s="14" customFormat="1">
      <c r="B11" s="11">
        <v>1</v>
      </c>
      <c r="C11" s="12" t="s">
        <v>304</v>
      </c>
      <c r="D11" s="12" t="s">
        <v>305</v>
      </c>
      <c r="E11" s="12" t="s">
        <v>306</v>
      </c>
      <c r="F11" s="29" t="s">
        <v>307</v>
      </c>
      <c r="G11" s="11">
        <v>2023</v>
      </c>
      <c r="H11" s="16">
        <v>45240</v>
      </c>
      <c r="I11" s="16">
        <v>45561</v>
      </c>
      <c r="J11" s="11" t="s">
        <v>308</v>
      </c>
      <c r="K11" s="12" t="s">
        <v>308</v>
      </c>
      <c r="L11" s="16">
        <v>45326</v>
      </c>
      <c r="M11" s="12" t="s">
        <v>213</v>
      </c>
      <c r="N11" s="11" t="s">
        <v>42</v>
      </c>
      <c r="O11" s="25">
        <v>222525596</v>
      </c>
      <c r="P11" s="2">
        <v>100</v>
      </c>
      <c r="Q11" s="25">
        <v>222525596</v>
      </c>
      <c r="R11" s="25">
        <v>111262798</v>
      </c>
      <c r="S11" s="25">
        <v>111262796</v>
      </c>
      <c r="T11" s="25">
        <v>0</v>
      </c>
      <c r="U11" s="25">
        <v>2</v>
      </c>
      <c r="V11" s="25">
        <v>84559726</v>
      </c>
      <c r="W11" s="13">
        <v>0</v>
      </c>
      <c r="X11" s="13">
        <v>0</v>
      </c>
      <c r="Y11" s="13">
        <f t="shared" ref="Y11:Y54" si="0">X11*76%</f>
        <v>0</v>
      </c>
      <c r="Z11" s="13"/>
      <c r="AA11" s="31"/>
      <c r="AB11" s="30"/>
    </row>
    <row r="12" spans="2:28">
      <c r="B12" s="11">
        <v>2</v>
      </c>
      <c r="C12" s="1" t="s">
        <v>309</v>
      </c>
      <c r="D12" s="1" t="s">
        <v>310</v>
      </c>
      <c r="E12" s="1" t="s">
        <v>311</v>
      </c>
      <c r="F12" s="29" t="s">
        <v>307</v>
      </c>
      <c r="G12" s="11">
        <v>2023</v>
      </c>
      <c r="H12" s="16">
        <v>45006</v>
      </c>
      <c r="I12" s="16">
        <v>45275</v>
      </c>
      <c r="J12" s="11" t="s">
        <v>308</v>
      </c>
      <c r="K12" s="12" t="s">
        <v>308</v>
      </c>
      <c r="L12" s="16">
        <v>45274</v>
      </c>
      <c r="M12" s="12" t="s">
        <v>41</v>
      </c>
      <c r="N12" s="11" t="s">
        <v>42</v>
      </c>
      <c r="O12" s="25">
        <v>220643767.80000001</v>
      </c>
      <c r="P12" s="2">
        <v>30</v>
      </c>
      <c r="Q12" s="25">
        <v>66193130.340000004</v>
      </c>
      <c r="R12" s="25">
        <v>110321883.90000001</v>
      </c>
      <c r="S12" s="25">
        <v>110321885</v>
      </c>
      <c r="T12" s="25">
        <v>0</v>
      </c>
      <c r="U12" s="25">
        <v>-1.0999999940395355</v>
      </c>
      <c r="V12" s="25">
        <v>83844632</v>
      </c>
      <c r="W12" s="13">
        <v>0</v>
      </c>
      <c r="X12" s="13">
        <v>70956232.200000003</v>
      </c>
      <c r="Y12" s="13">
        <f t="shared" si="0"/>
        <v>53926736.472000003</v>
      </c>
      <c r="Z12" s="13"/>
      <c r="AA12" s="31"/>
      <c r="AB12" s="30"/>
    </row>
    <row r="13" spans="2:28">
      <c r="B13" s="11">
        <v>3</v>
      </c>
      <c r="C13" s="1" t="s">
        <v>312</v>
      </c>
      <c r="D13" s="1" t="s">
        <v>313</v>
      </c>
      <c r="E13" s="1" t="s">
        <v>314</v>
      </c>
      <c r="F13" s="29" t="s">
        <v>307</v>
      </c>
      <c r="G13" s="11">
        <v>2023</v>
      </c>
      <c r="H13" s="16">
        <v>45166</v>
      </c>
      <c r="I13" s="16">
        <v>45531</v>
      </c>
      <c r="J13" s="11" t="s">
        <v>308</v>
      </c>
      <c r="K13" s="12" t="s">
        <v>308</v>
      </c>
      <c r="L13" s="16">
        <v>45530</v>
      </c>
      <c r="M13" s="12" t="s">
        <v>41</v>
      </c>
      <c r="N13" s="11" t="s">
        <v>42</v>
      </c>
      <c r="O13" s="25">
        <v>17279081</v>
      </c>
      <c r="P13" s="2">
        <v>49</v>
      </c>
      <c r="Q13" s="25">
        <v>8466749.6899999995</v>
      </c>
      <c r="R13" s="25">
        <v>8639540.4999999907</v>
      </c>
      <c r="S13" s="25">
        <v>8639541</v>
      </c>
      <c r="T13" s="25">
        <v>0</v>
      </c>
      <c r="U13" s="25">
        <v>-0.49999999068677425</v>
      </c>
      <c r="V13" s="25">
        <v>6566051</v>
      </c>
      <c r="W13" s="13">
        <v>0</v>
      </c>
      <c r="X13" s="13">
        <v>0</v>
      </c>
      <c r="Y13" s="13">
        <f t="shared" si="0"/>
        <v>0</v>
      </c>
      <c r="Z13" s="13"/>
      <c r="AA13" s="31"/>
      <c r="AB13" s="30"/>
    </row>
    <row r="14" spans="2:28">
      <c r="B14" s="11">
        <v>4</v>
      </c>
      <c r="C14" s="1" t="s">
        <v>315</v>
      </c>
      <c r="D14" s="1" t="s">
        <v>316</v>
      </c>
      <c r="E14" s="1" t="s">
        <v>317</v>
      </c>
      <c r="F14" s="29" t="s">
        <v>307</v>
      </c>
      <c r="G14" s="11">
        <v>2023</v>
      </c>
      <c r="H14" s="16">
        <v>45200</v>
      </c>
      <c r="I14" s="16">
        <v>45777</v>
      </c>
      <c r="J14" s="11" t="s">
        <v>308</v>
      </c>
      <c r="K14" s="12" t="s">
        <v>308</v>
      </c>
      <c r="L14" s="16">
        <v>45369</v>
      </c>
      <c r="M14" s="12" t="s">
        <v>41</v>
      </c>
      <c r="N14" s="11" t="s">
        <v>42</v>
      </c>
      <c r="O14" s="25">
        <v>134460186.5</v>
      </c>
      <c r="P14" s="2">
        <v>10</v>
      </c>
      <c r="Q14" s="25">
        <v>13446018.65</v>
      </c>
      <c r="R14" s="25">
        <v>35004618.392796099</v>
      </c>
      <c r="S14" s="25">
        <v>35004618</v>
      </c>
      <c r="T14" s="25">
        <v>0</v>
      </c>
      <c r="U14" s="25">
        <v>64450950.107203901</v>
      </c>
      <c r="V14" s="25">
        <v>26603510</v>
      </c>
      <c r="W14" s="13">
        <v>0</v>
      </c>
      <c r="X14" s="13">
        <v>0</v>
      </c>
      <c r="Y14" s="13">
        <f t="shared" si="0"/>
        <v>0</v>
      </c>
      <c r="Z14" s="13"/>
      <c r="AA14" s="31"/>
      <c r="AB14" s="30"/>
    </row>
    <row r="15" spans="2:28">
      <c r="B15" s="11">
        <v>5</v>
      </c>
      <c r="C15" s="1" t="s">
        <v>315</v>
      </c>
      <c r="D15" s="1" t="s">
        <v>316</v>
      </c>
      <c r="E15" s="1" t="s">
        <v>317</v>
      </c>
      <c r="F15" s="29" t="s">
        <v>307</v>
      </c>
      <c r="G15" s="11">
        <v>2023</v>
      </c>
      <c r="H15" s="16">
        <v>45200</v>
      </c>
      <c r="I15" s="16">
        <v>45777</v>
      </c>
      <c r="J15" s="11" t="s">
        <v>308</v>
      </c>
      <c r="K15" s="12" t="s">
        <v>308</v>
      </c>
      <c r="L15" s="16">
        <v>45369</v>
      </c>
      <c r="M15" s="12" t="s">
        <v>41</v>
      </c>
      <c r="N15" s="11" t="s">
        <v>42</v>
      </c>
      <c r="O15" s="25">
        <v>134460186.5</v>
      </c>
      <c r="P15" s="2">
        <v>10</v>
      </c>
      <c r="Q15" s="25">
        <v>13446018.65</v>
      </c>
      <c r="R15" s="25">
        <v>35004618.392796099</v>
      </c>
      <c r="S15" s="25">
        <v>0</v>
      </c>
      <c r="T15" s="25">
        <v>64450950</v>
      </c>
      <c r="U15" s="25">
        <v>35004618.107203901</v>
      </c>
      <c r="V15" s="25">
        <v>0</v>
      </c>
      <c r="W15" s="13">
        <v>48982722</v>
      </c>
      <c r="X15" s="13">
        <v>0</v>
      </c>
      <c r="Y15" s="13">
        <f t="shared" si="0"/>
        <v>0</v>
      </c>
      <c r="Z15" s="13"/>
      <c r="AA15" s="31"/>
      <c r="AB15" s="30"/>
    </row>
    <row r="16" spans="2:28">
      <c r="B16" s="11">
        <v>6</v>
      </c>
      <c r="C16" s="1" t="s">
        <v>318</v>
      </c>
      <c r="D16" s="1" t="s">
        <v>319</v>
      </c>
      <c r="E16" s="1" t="s">
        <v>320</v>
      </c>
      <c r="F16" s="29" t="s">
        <v>307</v>
      </c>
      <c r="G16" s="11">
        <v>2023</v>
      </c>
      <c r="H16" s="16">
        <v>45291</v>
      </c>
      <c r="I16" s="16">
        <v>45657</v>
      </c>
      <c r="J16" s="11">
        <v>2748</v>
      </c>
      <c r="K16" s="12" t="s">
        <v>321</v>
      </c>
      <c r="L16" s="16">
        <v>45373</v>
      </c>
      <c r="M16" s="12" t="s">
        <v>41</v>
      </c>
      <c r="N16" s="11" t="s">
        <v>42</v>
      </c>
      <c r="O16" s="25">
        <v>4665000</v>
      </c>
      <c r="P16" s="2">
        <v>10</v>
      </c>
      <c r="Q16" s="25">
        <v>466500</v>
      </c>
      <c r="R16" s="25">
        <v>2332500</v>
      </c>
      <c r="S16" s="25">
        <v>2332500</v>
      </c>
      <c r="T16" s="25">
        <v>0</v>
      </c>
      <c r="U16" s="25">
        <v>0</v>
      </c>
      <c r="V16" s="25">
        <v>1772700</v>
      </c>
      <c r="W16" s="13">
        <v>0</v>
      </c>
      <c r="X16" s="13">
        <v>0</v>
      </c>
      <c r="Y16" s="13">
        <f t="shared" si="0"/>
        <v>0</v>
      </c>
      <c r="Z16" s="13"/>
      <c r="AA16" s="31"/>
      <c r="AB16" s="30"/>
    </row>
    <row r="17" spans="2:28">
      <c r="B17" s="11">
        <v>7</v>
      </c>
      <c r="C17" s="1" t="s">
        <v>322</v>
      </c>
      <c r="D17" s="1" t="s">
        <v>323</v>
      </c>
      <c r="E17" s="1" t="s">
        <v>324</v>
      </c>
      <c r="F17" s="29" t="s">
        <v>307</v>
      </c>
      <c r="G17" s="11">
        <v>2023</v>
      </c>
      <c r="H17" s="16">
        <v>45108</v>
      </c>
      <c r="I17" s="16">
        <v>45657</v>
      </c>
      <c r="J17" s="11">
        <v>2911</v>
      </c>
      <c r="K17" s="12" t="s">
        <v>325</v>
      </c>
      <c r="L17" s="16">
        <v>45563</v>
      </c>
      <c r="M17" s="12" t="s">
        <v>41</v>
      </c>
      <c r="N17" s="11" t="s">
        <v>42</v>
      </c>
      <c r="O17" s="25">
        <v>4647001</v>
      </c>
      <c r="P17" s="2">
        <v>5</v>
      </c>
      <c r="Q17" s="25">
        <v>232350.05000000002</v>
      </c>
      <c r="R17" s="25">
        <v>777957.75669642806</v>
      </c>
      <c r="S17" s="25">
        <v>130079</v>
      </c>
      <c r="T17" s="25">
        <v>0</v>
      </c>
      <c r="U17" s="25">
        <v>3738964.2433035718</v>
      </c>
      <c r="V17" s="25">
        <v>98859.000000000102</v>
      </c>
      <c r="W17" s="13">
        <v>0</v>
      </c>
      <c r="X17" s="13">
        <v>0</v>
      </c>
      <c r="Y17" s="13">
        <f t="shared" si="0"/>
        <v>0</v>
      </c>
      <c r="Z17" s="13"/>
      <c r="AA17" s="31"/>
      <c r="AB17" s="30"/>
    </row>
    <row r="18" spans="2:28">
      <c r="B18" s="11">
        <v>8</v>
      </c>
      <c r="C18" s="1" t="s">
        <v>322</v>
      </c>
      <c r="D18" s="1" t="s">
        <v>323</v>
      </c>
      <c r="E18" s="1" t="s">
        <v>324</v>
      </c>
      <c r="F18" s="29" t="s">
        <v>307</v>
      </c>
      <c r="G18" s="11">
        <v>2023</v>
      </c>
      <c r="H18" s="16">
        <v>45108</v>
      </c>
      <c r="I18" s="16">
        <v>45657</v>
      </c>
      <c r="J18" s="11">
        <v>2911</v>
      </c>
      <c r="K18" s="12" t="s">
        <v>325</v>
      </c>
      <c r="L18" s="16">
        <v>45563</v>
      </c>
      <c r="M18" s="12" t="s">
        <v>41</v>
      </c>
      <c r="N18" s="11" t="s">
        <v>42</v>
      </c>
      <c r="O18" s="25">
        <v>4647001</v>
      </c>
      <c r="P18" s="2">
        <v>5</v>
      </c>
      <c r="Q18" s="25">
        <v>232350.05000000002</v>
      </c>
      <c r="R18" s="25">
        <v>777957.75669642806</v>
      </c>
      <c r="S18" s="25">
        <v>0</v>
      </c>
      <c r="T18" s="25">
        <v>516844</v>
      </c>
      <c r="U18" s="25">
        <v>3352199.2433035718</v>
      </c>
      <c r="V18" s="25">
        <v>0</v>
      </c>
      <c r="W18" s="13">
        <v>392801</v>
      </c>
      <c r="X18" s="13">
        <v>0</v>
      </c>
      <c r="Y18" s="13">
        <f t="shared" si="0"/>
        <v>0</v>
      </c>
      <c r="Z18" s="13"/>
      <c r="AA18" s="31"/>
      <c r="AB18" s="30"/>
    </row>
    <row r="19" spans="2:28">
      <c r="B19" s="11">
        <v>9</v>
      </c>
      <c r="C19" s="1" t="s">
        <v>326</v>
      </c>
      <c r="D19" s="1" t="s">
        <v>323</v>
      </c>
      <c r="E19" s="1" t="s">
        <v>324</v>
      </c>
      <c r="F19" s="29" t="s">
        <v>307</v>
      </c>
      <c r="G19" s="11">
        <v>2023</v>
      </c>
      <c r="H19" s="16">
        <v>45108</v>
      </c>
      <c r="I19" s="16">
        <v>45657</v>
      </c>
      <c r="J19" s="11">
        <v>2911</v>
      </c>
      <c r="K19" s="12" t="s">
        <v>325</v>
      </c>
      <c r="L19" s="16">
        <v>45610</v>
      </c>
      <c r="M19" s="12" t="s">
        <v>41</v>
      </c>
      <c r="N19" s="11" t="s">
        <v>42</v>
      </c>
      <c r="O19" s="28">
        <v>4647001</v>
      </c>
      <c r="P19" s="2">
        <v>5</v>
      </c>
      <c r="Q19" s="25">
        <v>232350.05000000002</v>
      </c>
      <c r="R19" s="28">
        <v>777957.75669642806</v>
      </c>
      <c r="S19" s="28">
        <v>647880</v>
      </c>
      <c r="T19" s="28">
        <v>0</v>
      </c>
      <c r="U19" s="25">
        <v>3221163.2433035718</v>
      </c>
      <c r="V19" s="25">
        <v>492388</v>
      </c>
      <c r="W19" s="18">
        <v>0</v>
      </c>
      <c r="X19" s="13">
        <v>0</v>
      </c>
      <c r="Y19" s="13">
        <f t="shared" si="0"/>
        <v>0</v>
      </c>
      <c r="Z19" s="13"/>
      <c r="AA19" s="31"/>
      <c r="AB19" s="30"/>
    </row>
    <row r="20" spans="2:28">
      <c r="B20" s="11">
        <v>10</v>
      </c>
      <c r="C20" s="1" t="s">
        <v>326</v>
      </c>
      <c r="D20" s="1" t="s">
        <v>323</v>
      </c>
      <c r="E20" s="1" t="s">
        <v>324</v>
      </c>
      <c r="F20" s="29" t="s">
        <v>307</v>
      </c>
      <c r="G20" s="11">
        <v>2023</v>
      </c>
      <c r="H20" s="16">
        <v>45108</v>
      </c>
      <c r="I20" s="16">
        <v>45657</v>
      </c>
      <c r="J20" s="11">
        <v>2911</v>
      </c>
      <c r="K20" s="12" t="s">
        <v>325</v>
      </c>
      <c r="L20" s="16">
        <v>45610</v>
      </c>
      <c r="M20" s="12" t="s">
        <v>41</v>
      </c>
      <c r="N20" s="11" t="s">
        <v>42</v>
      </c>
      <c r="O20" s="25">
        <v>4647001</v>
      </c>
      <c r="P20" s="2">
        <v>5</v>
      </c>
      <c r="Q20" s="25">
        <v>232350.05000000002</v>
      </c>
      <c r="R20" s="25">
        <v>777957.75669642806</v>
      </c>
      <c r="S20" s="25">
        <v>0</v>
      </c>
      <c r="T20" s="25">
        <v>2574242</v>
      </c>
      <c r="U20" s="25">
        <v>1294801.2433035718</v>
      </c>
      <c r="V20" s="25">
        <v>0</v>
      </c>
      <c r="W20" s="13">
        <v>1956424</v>
      </c>
      <c r="X20" s="13">
        <v>0</v>
      </c>
      <c r="Y20" s="13">
        <f t="shared" si="0"/>
        <v>0</v>
      </c>
      <c r="Z20" s="13"/>
      <c r="AA20" s="31"/>
      <c r="AB20" s="30"/>
    </row>
    <row r="21" spans="2:28">
      <c r="B21" s="11">
        <v>11</v>
      </c>
      <c r="C21" s="1" t="s">
        <v>327</v>
      </c>
      <c r="D21" s="1" t="s">
        <v>328</v>
      </c>
      <c r="E21" s="1" t="s">
        <v>329</v>
      </c>
      <c r="F21" s="29" t="s">
        <v>307</v>
      </c>
      <c r="G21" s="11">
        <v>2023</v>
      </c>
      <c r="H21" s="16">
        <v>45240</v>
      </c>
      <c r="I21" s="16">
        <v>45606</v>
      </c>
      <c r="J21" s="11">
        <v>2028</v>
      </c>
      <c r="K21" s="12" t="s">
        <v>330</v>
      </c>
      <c r="L21" s="16">
        <v>45312</v>
      </c>
      <c r="M21" s="12" t="s">
        <v>41</v>
      </c>
      <c r="N21" s="11" t="s">
        <v>42</v>
      </c>
      <c r="O21" s="28">
        <v>7194734.4000000004</v>
      </c>
      <c r="P21" s="2">
        <v>20</v>
      </c>
      <c r="Q21" s="25">
        <v>1438946.8800000001</v>
      </c>
      <c r="R21" s="28">
        <v>3597367.2</v>
      </c>
      <c r="S21" s="28">
        <v>1660246</v>
      </c>
      <c r="T21" s="28">
        <v>0</v>
      </c>
      <c r="U21" s="25">
        <v>1937121.2000000002</v>
      </c>
      <c r="V21" s="25">
        <v>1261787</v>
      </c>
      <c r="W21" s="18">
        <v>0</v>
      </c>
      <c r="X21" s="13">
        <v>0</v>
      </c>
      <c r="Y21" s="13">
        <f t="shared" si="0"/>
        <v>0</v>
      </c>
      <c r="Z21" s="13"/>
      <c r="AA21" s="31"/>
      <c r="AB21" s="30"/>
    </row>
    <row r="22" spans="2:28">
      <c r="B22" s="11">
        <v>12</v>
      </c>
      <c r="C22" s="1" t="s">
        <v>331</v>
      </c>
      <c r="D22" s="1" t="s">
        <v>328</v>
      </c>
      <c r="E22" s="1" t="s">
        <v>329</v>
      </c>
      <c r="F22" s="29" t="s">
        <v>307</v>
      </c>
      <c r="G22" s="11">
        <v>2023</v>
      </c>
      <c r="H22" s="16">
        <v>45240</v>
      </c>
      <c r="I22" s="16">
        <v>45606</v>
      </c>
      <c r="J22" s="11">
        <v>2028</v>
      </c>
      <c r="K22" s="12" t="s">
        <v>330</v>
      </c>
      <c r="L22" s="16">
        <v>45260</v>
      </c>
      <c r="M22" s="12" t="s">
        <v>41</v>
      </c>
      <c r="N22" s="11" t="s">
        <v>42</v>
      </c>
      <c r="O22" s="25">
        <v>7194734.4000000004</v>
      </c>
      <c r="P22" s="2">
        <v>20</v>
      </c>
      <c r="Q22" s="25">
        <v>1438946.8800000001</v>
      </c>
      <c r="R22" s="25">
        <v>3597367.2</v>
      </c>
      <c r="S22" s="25">
        <v>1018673</v>
      </c>
      <c r="T22" s="25">
        <v>0</v>
      </c>
      <c r="U22" s="25">
        <v>2578694.2000000002</v>
      </c>
      <c r="V22" s="25">
        <v>774192</v>
      </c>
      <c r="W22" s="13">
        <v>0</v>
      </c>
      <c r="X22" s="13">
        <v>0</v>
      </c>
      <c r="Y22" s="13">
        <f t="shared" si="0"/>
        <v>0</v>
      </c>
      <c r="Z22" s="13"/>
      <c r="AA22" s="31"/>
      <c r="AB22" s="30"/>
    </row>
    <row r="23" spans="2:28">
      <c r="B23" s="11">
        <v>13</v>
      </c>
      <c r="C23" s="1" t="s">
        <v>332</v>
      </c>
      <c r="D23" s="1" t="s">
        <v>328</v>
      </c>
      <c r="E23" s="1" t="s">
        <v>329</v>
      </c>
      <c r="F23" s="29" t="s">
        <v>307</v>
      </c>
      <c r="G23" s="11">
        <v>2023</v>
      </c>
      <c r="H23" s="16">
        <v>45240</v>
      </c>
      <c r="I23" s="16">
        <v>45606</v>
      </c>
      <c r="J23" s="11">
        <v>2028</v>
      </c>
      <c r="K23" s="12" t="s">
        <v>330</v>
      </c>
      <c r="L23" s="16">
        <v>45252</v>
      </c>
      <c r="M23" s="12" t="s">
        <v>41</v>
      </c>
      <c r="N23" s="11" t="s">
        <v>42</v>
      </c>
      <c r="O23" s="28">
        <v>7194734.4000000004</v>
      </c>
      <c r="P23" s="2">
        <v>20</v>
      </c>
      <c r="Q23" s="25">
        <v>1438946.8800000001</v>
      </c>
      <c r="R23" s="28">
        <v>3597367.2</v>
      </c>
      <c r="S23" s="28">
        <v>918447</v>
      </c>
      <c r="T23" s="28">
        <v>0</v>
      </c>
      <c r="U23" s="25">
        <v>2678920.2000000002</v>
      </c>
      <c r="V23" s="25">
        <v>698020</v>
      </c>
      <c r="W23" s="18">
        <v>0</v>
      </c>
      <c r="X23" s="13">
        <v>0</v>
      </c>
      <c r="Y23" s="13">
        <f t="shared" si="0"/>
        <v>0</v>
      </c>
      <c r="Z23" s="13"/>
      <c r="AA23" s="31"/>
      <c r="AB23" s="30"/>
    </row>
    <row r="24" spans="2:28">
      <c r="B24" s="11">
        <v>14</v>
      </c>
      <c r="C24" s="1" t="s">
        <v>333</v>
      </c>
      <c r="D24" s="1" t="s">
        <v>334</v>
      </c>
      <c r="E24" s="1" t="s">
        <v>335</v>
      </c>
      <c r="F24" s="29" t="s">
        <v>307</v>
      </c>
      <c r="G24" s="11">
        <v>2023</v>
      </c>
      <c r="H24" s="16">
        <v>45279</v>
      </c>
      <c r="I24" s="16">
        <v>45645</v>
      </c>
      <c r="J24" s="11">
        <v>2028</v>
      </c>
      <c r="K24" s="12" t="s">
        <v>336</v>
      </c>
      <c r="L24" s="16">
        <v>45574</v>
      </c>
      <c r="M24" s="12" t="s">
        <v>41</v>
      </c>
      <c r="N24" s="11" t="s">
        <v>42</v>
      </c>
      <c r="O24" s="25">
        <v>8250714.2999999998</v>
      </c>
      <c r="P24" s="2">
        <v>10</v>
      </c>
      <c r="Q24" s="25">
        <v>825071.43</v>
      </c>
      <c r="R24" s="25">
        <v>4125357.15</v>
      </c>
      <c r="S24" s="25">
        <v>1109137</v>
      </c>
      <c r="T24" s="25">
        <v>0</v>
      </c>
      <c r="U24" s="25">
        <v>3016220.15</v>
      </c>
      <c r="V24" s="25">
        <v>842944</v>
      </c>
      <c r="W24" s="13">
        <v>0</v>
      </c>
      <c r="X24" s="13">
        <v>0</v>
      </c>
      <c r="Y24" s="13">
        <f t="shared" si="0"/>
        <v>0</v>
      </c>
      <c r="Z24" s="13"/>
      <c r="AA24" s="31"/>
      <c r="AB24" s="30"/>
    </row>
    <row r="25" spans="2:28">
      <c r="B25" s="11">
        <v>15</v>
      </c>
      <c r="C25" s="1" t="s">
        <v>337</v>
      </c>
      <c r="D25" s="1" t="s">
        <v>334</v>
      </c>
      <c r="E25" s="1" t="s">
        <v>335</v>
      </c>
      <c r="F25" s="29" t="s">
        <v>307</v>
      </c>
      <c r="G25" s="11">
        <v>2023</v>
      </c>
      <c r="H25" s="16">
        <v>45279</v>
      </c>
      <c r="I25" s="16">
        <v>45645</v>
      </c>
      <c r="J25" s="11">
        <v>2028</v>
      </c>
      <c r="K25" s="12" t="s">
        <v>336</v>
      </c>
      <c r="L25" s="16">
        <v>45616</v>
      </c>
      <c r="M25" s="12" t="s">
        <v>41</v>
      </c>
      <c r="N25" s="11" t="s">
        <v>42</v>
      </c>
      <c r="O25" s="25">
        <v>8250714.2999999998</v>
      </c>
      <c r="P25" s="2">
        <v>10</v>
      </c>
      <c r="Q25" s="25">
        <v>825071.43</v>
      </c>
      <c r="R25" s="25">
        <v>4125357.15</v>
      </c>
      <c r="S25" s="25">
        <v>255500</v>
      </c>
      <c r="T25" s="25">
        <v>0</v>
      </c>
      <c r="U25" s="25">
        <v>3869857.15</v>
      </c>
      <c r="V25" s="25">
        <v>194180</v>
      </c>
      <c r="W25" s="13">
        <v>0</v>
      </c>
      <c r="X25" s="13">
        <v>0</v>
      </c>
      <c r="Y25" s="13">
        <f t="shared" si="0"/>
        <v>0</v>
      </c>
      <c r="Z25" s="13"/>
      <c r="AA25" s="31"/>
      <c r="AB25" s="30"/>
    </row>
    <row r="26" spans="2:28">
      <c r="B26" s="11">
        <v>16</v>
      </c>
      <c r="C26" s="1" t="s">
        <v>338</v>
      </c>
      <c r="D26" s="1" t="s">
        <v>334</v>
      </c>
      <c r="E26" s="1" t="s">
        <v>335</v>
      </c>
      <c r="F26" s="29" t="s">
        <v>307</v>
      </c>
      <c r="G26" s="11">
        <v>2023</v>
      </c>
      <c r="H26" s="16">
        <v>45279</v>
      </c>
      <c r="I26" s="16">
        <v>45645</v>
      </c>
      <c r="J26" s="11">
        <v>2028</v>
      </c>
      <c r="K26" s="12" t="s">
        <v>336</v>
      </c>
      <c r="L26" s="16">
        <v>45614</v>
      </c>
      <c r="M26" s="12" t="s">
        <v>41</v>
      </c>
      <c r="N26" s="11" t="s">
        <v>42</v>
      </c>
      <c r="O26" s="25">
        <v>8250714.2999999998</v>
      </c>
      <c r="P26" s="2">
        <v>10</v>
      </c>
      <c r="Q26" s="25">
        <v>825071.43</v>
      </c>
      <c r="R26" s="25">
        <v>4125357.15</v>
      </c>
      <c r="S26" s="25">
        <v>531982</v>
      </c>
      <c r="T26" s="25">
        <v>0</v>
      </c>
      <c r="U26" s="25">
        <v>3593375.15</v>
      </c>
      <c r="V26" s="25">
        <v>404306</v>
      </c>
      <c r="W26" s="13">
        <v>0</v>
      </c>
      <c r="X26" s="13">
        <v>0</v>
      </c>
      <c r="Y26" s="13">
        <f t="shared" si="0"/>
        <v>0</v>
      </c>
      <c r="Z26" s="13"/>
      <c r="AA26" s="31"/>
      <c r="AB26" s="30"/>
    </row>
    <row r="27" spans="2:28">
      <c r="B27" s="11">
        <v>17</v>
      </c>
      <c r="C27" s="1" t="s">
        <v>339</v>
      </c>
      <c r="D27" s="1" t="s">
        <v>334</v>
      </c>
      <c r="E27" s="1" t="s">
        <v>335</v>
      </c>
      <c r="F27" s="29" t="s">
        <v>307</v>
      </c>
      <c r="G27" s="11">
        <v>2023</v>
      </c>
      <c r="H27" s="16">
        <v>45279</v>
      </c>
      <c r="I27" s="16">
        <v>45645</v>
      </c>
      <c r="J27" s="11">
        <v>2028</v>
      </c>
      <c r="K27" s="12" t="s">
        <v>336</v>
      </c>
      <c r="L27" s="16">
        <v>45614</v>
      </c>
      <c r="M27" s="12" t="s">
        <v>41</v>
      </c>
      <c r="N27" s="11" t="s">
        <v>42</v>
      </c>
      <c r="O27" s="25">
        <v>8250714.2999999998</v>
      </c>
      <c r="P27" s="2">
        <v>10</v>
      </c>
      <c r="Q27" s="25">
        <v>825071.43</v>
      </c>
      <c r="R27" s="25">
        <v>4125357.15</v>
      </c>
      <c r="S27" s="25">
        <v>2228739</v>
      </c>
      <c r="T27" s="25">
        <v>0</v>
      </c>
      <c r="U27" s="25">
        <v>1896618.15</v>
      </c>
      <c r="V27" s="25">
        <v>1693841</v>
      </c>
      <c r="W27" s="13">
        <v>0</v>
      </c>
      <c r="X27" s="13">
        <v>0</v>
      </c>
      <c r="Y27" s="13">
        <f t="shared" si="0"/>
        <v>0</v>
      </c>
      <c r="Z27" s="13"/>
      <c r="AA27" s="31"/>
      <c r="AB27" s="30"/>
    </row>
    <row r="28" spans="2:28">
      <c r="B28" s="11">
        <v>18</v>
      </c>
      <c r="C28" s="1" t="s">
        <v>340</v>
      </c>
      <c r="D28" s="1" t="s">
        <v>341</v>
      </c>
      <c r="E28" s="1" t="s">
        <v>342</v>
      </c>
      <c r="F28" s="29" t="s">
        <v>307</v>
      </c>
      <c r="G28" s="11">
        <v>2023</v>
      </c>
      <c r="H28" s="16">
        <v>45162</v>
      </c>
      <c r="I28" s="16">
        <v>45893</v>
      </c>
      <c r="J28" s="11" t="s">
        <v>308</v>
      </c>
      <c r="K28" s="12" t="s">
        <v>308</v>
      </c>
      <c r="L28" s="16">
        <v>45363</v>
      </c>
      <c r="M28" s="12" t="s">
        <v>41</v>
      </c>
      <c r="N28" s="11" t="s">
        <v>42</v>
      </c>
      <c r="O28" s="25">
        <v>720154950.5</v>
      </c>
      <c r="P28" s="2">
        <v>17.5</v>
      </c>
      <c r="Q28" s="25">
        <v>126027116.33749999</v>
      </c>
      <c r="R28" s="25">
        <v>144214902.41631699</v>
      </c>
      <c r="S28" s="25">
        <v>45653373</v>
      </c>
      <c r="T28" s="25">
        <v>0</v>
      </c>
      <c r="U28" s="25">
        <v>530286675.08368301</v>
      </c>
      <c r="V28" s="25">
        <v>34696564</v>
      </c>
      <c r="W28" s="13">
        <v>0</v>
      </c>
      <c r="X28" s="13">
        <v>0</v>
      </c>
      <c r="Y28" s="13">
        <f t="shared" si="0"/>
        <v>0</v>
      </c>
      <c r="Z28" s="13"/>
      <c r="AA28" s="31"/>
      <c r="AB28" s="30"/>
    </row>
    <row r="29" spans="2:28">
      <c r="B29" s="11">
        <v>19</v>
      </c>
      <c r="C29" s="1" t="s">
        <v>340</v>
      </c>
      <c r="D29" s="1" t="s">
        <v>341</v>
      </c>
      <c r="E29" s="1" t="s">
        <v>342</v>
      </c>
      <c r="F29" s="29" t="s">
        <v>307</v>
      </c>
      <c r="G29" s="11">
        <v>2023</v>
      </c>
      <c r="H29" s="16">
        <v>45162</v>
      </c>
      <c r="I29" s="16">
        <v>45893</v>
      </c>
      <c r="J29" s="11" t="s">
        <v>308</v>
      </c>
      <c r="K29" s="12" t="s">
        <v>308</v>
      </c>
      <c r="L29" s="16">
        <v>45363</v>
      </c>
      <c r="M29" s="12" t="s">
        <v>41</v>
      </c>
      <c r="N29" s="11" t="s">
        <v>42</v>
      </c>
      <c r="O29" s="28">
        <v>720154950.5</v>
      </c>
      <c r="P29" s="2">
        <v>17.5</v>
      </c>
      <c r="Q29" s="25">
        <v>126027116.33749999</v>
      </c>
      <c r="R29" s="28">
        <v>144214902.41631699</v>
      </c>
      <c r="S29" s="28">
        <v>0</v>
      </c>
      <c r="T29" s="28">
        <v>136669018</v>
      </c>
      <c r="U29" s="25">
        <v>439271030.08368301</v>
      </c>
      <c r="V29" s="25">
        <v>0</v>
      </c>
      <c r="W29" s="18">
        <v>103868454</v>
      </c>
      <c r="X29" s="13">
        <v>0</v>
      </c>
      <c r="Y29" s="13">
        <f t="shared" si="0"/>
        <v>0</v>
      </c>
      <c r="Z29" s="13"/>
      <c r="AA29" s="31"/>
      <c r="AB29" s="30"/>
    </row>
    <row r="30" spans="2:28">
      <c r="B30" s="11">
        <v>20</v>
      </c>
      <c r="C30" s="1" t="s">
        <v>343</v>
      </c>
      <c r="D30" s="1" t="s">
        <v>341</v>
      </c>
      <c r="E30" s="1" t="s">
        <v>342</v>
      </c>
      <c r="F30" s="29" t="s">
        <v>307</v>
      </c>
      <c r="G30" s="11">
        <v>2023</v>
      </c>
      <c r="H30" s="16">
        <v>45162</v>
      </c>
      <c r="I30" s="16">
        <v>45893</v>
      </c>
      <c r="J30" s="11" t="s">
        <v>308</v>
      </c>
      <c r="K30" s="12" t="s">
        <v>308</v>
      </c>
      <c r="L30" s="16">
        <v>45407</v>
      </c>
      <c r="M30" s="12" t="s">
        <v>41</v>
      </c>
      <c r="N30" s="11" t="s">
        <v>42</v>
      </c>
      <c r="O30" s="28">
        <v>720154950.5</v>
      </c>
      <c r="P30" s="2">
        <v>17.5</v>
      </c>
      <c r="Q30" s="25">
        <v>126027116.33749999</v>
      </c>
      <c r="R30" s="28">
        <v>144214902.41631699</v>
      </c>
      <c r="S30" s="28">
        <v>49795210</v>
      </c>
      <c r="T30" s="28">
        <v>0</v>
      </c>
      <c r="U30" s="25">
        <v>526144838.08368301</v>
      </c>
      <c r="V30" s="25">
        <v>37844360</v>
      </c>
      <c r="W30" s="18">
        <v>0</v>
      </c>
      <c r="X30" s="13">
        <v>0</v>
      </c>
      <c r="Y30" s="13">
        <f t="shared" si="0"/>
        <v>0</v>
      </c>
      <c r="Z30" s="13"/>
      <c r="AA30" s="31"/>
      <c r="AB30" s="30"/>
    </row>
    <row r="31" spans="2:28">
      <c r="B31" s="11">
        <v>21</v>
      </c>
      <c r="C31" s="1" t="s">
        <v>343</v>
      </c>
      <c r="D31" s="1" t="s">
        <v>341</v>
      </c>
      <c r="E31" s="1" t="s">
        <v>342</v>
      </c>
      <c r="F31" s="29" t="s">
        <v>307</v>
      </c>
      <c r="G31" s="11">
        <v>2023</v>
      </c>
      <c r="H31" s="16">
        <v>45162</v>
      </c>
      <c r="I31" s="16">
        <v>45893</v>
      </c>
      <c r="J31" s="11" t="s">
        <v>308</v>
      </c>
      <c r="K31" s="12" t="s">
        <v>308</v>
      </c>
      <c r="L31" s="16">
        <v>45407</v>
      </c>
      <c r="M31" s="12" t="s">
        <v>41</v>
      </c>
      <c r="N31" s="11" t="s">
        <v>42</v>
      </c>
      <c r="O31" s="25">
        <v>720154950.5</v>
      </c>
      <c r="P31" s="2">
        <v>17.5</v>
      </c>
      <c r="Q31" s="25">
        <v>126027116.33749999</v>
      </c>
      <c r="R31" s="25">
        <v>144214902.41631699</v>
      </c>
      <c r="S31" s="25">
        <v>0</v>
      </c>
      <c r="T31" s="25">
        <v>149068120</v>
      </c>
      <c r="U31" s="25">
        <v>426871928.08368301</v>
      </c>
      <c r="V31" s="25">
        <v>0</v>
      </c>
      <c r="W31" s="13">
        <v>113291772</v>
      </c>
      <c r="X31" s="13">
        <v>0</v>
      </c>
      <c r="Y31" s="13">
        <f t="shared" si="0"/>
        <v>0</v>
      </c>
      <c r="Z31" s="13"/>
      <c r="AA31" s="31"/>
      <c r="AB31" s="30"/>
    </row>
    <row r="32" spans="2:28">
      <c r="B32" s="11">
        <v>22</v>
      </c>
      <c r="C32" s="1" t="s">
        <v>344</v>
      </c>
      <c r="D32" s="1" t="s">
        <v>341</v>
      </c>
      <c r="E32" s="1" t="s">
        <v>342</v>
      </c>
      <c r="F32" s="29" t="s">
        <v>307</v>
      </c>
      <c r="G32" s="11">
        <v>2023</v>
      </c>
      <c r="H32" s="16">
        <v>45162</v>
      </c>
      <c r="I32" s="16">
        <v>45893</v>
      </c>
      <c r="J32" s="11" t="s">
        <v>308</v>
      </c>
      <c r="K32" s="12" t="s">
        <v>308</v>
      </c>
      <c r="L32" s="16">
        <v>45412</v>
      </c>
      <c r="M32" s="12" t="s">
        <v>41</v>
      </c>
      <c r="N32" s="11" t="s">
        <v>42</v>
      </c>
      <c r="O32" s="28">
        <v>720154950.5</v>
      </c>
      <c r="P32" s="2">
        <v>17.5</v>
      </c>
      <c r="Q32" s="25">
        <v>126027116.33749999</v>
      </c>
      <c r="R32" s="28">
        <v>144214902.41631699</v>
      </c>
      <c r="S32" s="28">
        <v>48766318</v>
      </c>
      <c r="T32" s="28">
        <v>0</v>
      </c>
      <c r="U32" s="25">
        <v>527173730.08368301</v>
      </c>
      <c r="V32" s="25">
        <v>37062402</v>
      </c>
      <c r="W32" s="18">
        <v>0</v>
      </c>
      <c r="X32" s="13">
        <v>0</v>
      </c>
      <c r="Y32" s="13">
        <f t="shared" si="0"/>
        <v>0</v>
      </c>
      <c r="Z32" s="13"/>
      <c r="AA32" s="31"/>
      <c r="AB32" s="30"/>
    </row>
    <row r="33" spans="2:28">
      <c r="B33" s="11">
        <v>23</v>
      </c>
      <c r="C33" s="1" t="s">
        <v>344</v>
      </c>
      <c r="D33" s="1" t="s">
        <v>341</v>
      </c>
      <c r="E33" s="1" t="s">
        <v>342</v>
      </c>
      <c r="F33" s="29" t="s">
        <v>307</v>
      </c>
      <c r="G33" s="11">
        <v>2023</v>
      </c>
      <c r="H33" s="16">
        <v>45162</v>
      </c>
      <c r="I33" s="16">
        <v>45893</v>
      </c>
      <c r="J33" s="11" t="s">
        <v>308</v>
      </c>
      <c r="K33" s="12" t="s">
        <v>308</v>
      </c>
      <c r="L33" s="16">
        <v>45412</v>
      </c>
      <c r="M33" s="12" t="s">
        <v>41</v>
      </c>
      <c r="N33" s="11" t="s">
        <v>42</v>
      </c>
      <c r="O33" s="25">
        <v>720154950.5</v>
      </c>
      <c r="P33" s="2">
        <v>17.5</v>
      </c>
      <c r="Q33" s="25">
        <v>126027116.33749999</v>
      </c>
      <c r="R33" s="25">
        <v>144214902.41631699</v>
      </c>
      <c r="S33" s="25">
        <v>0</v>
      </c>
      <c r="T33" s="25">
        <v>145988005</v>
      </c>
      <c r="U33" s="25">
        <v>429952043.08368301</v>
      </c>
      <c r="V33" s="25">
        <v>0</v>
      </c>
      <c r="W33" s="13">
        <v>110950884</v>
      </c>
      <c r="X33" s="13">
        <v>0</v>
      </c>
      <c r="Y33" s="13">
        <f t="shared" si="0"/>
        <v>0</v>
      </c>
      <c r="Z33" s="13"/>
      <c r="AA33" s="31"/>
      <c r="AB33" s="30"/>
    </row>
    <row r="34" spans="2:28">
      <c r="B34" s="11">
        <v>24</v>
      </c>
      <c r="C34" s="1" t="s">
        <v>345</v>
      </c>
      <c r="D34" s="1" t="s">
        <v>346</v>
      </c>
      <c r="E34" s="1" t="s">
        <v>347</v>
      </c>
      <c r="F34" s="29" t="s">
        <v>307</v>
      </c>
      <c r="G34" s="11">
        <v>2023</v>
      </c>
      <c r="H34" s="16">
        <v>45062</v>
      </c>
      <c r="I34" s="16">
        <v>45572</v>
      </c>
      <c r="J34" s="11" t="s">
        <v>308</v>
      </c>
      <c r="K34" s="12" t="s">
        <v>308</v>
      </c>
      <c r="L34" s="16">
        <v>45366</v>
      </c>
      <c r="M34" s="12" t="s">
        <v>41</v>
      </c>
      <c r="N34" s="11" t="s">
        <v>42</v>
      </c>
      <c r="O34" s="25">
        <v>13573080</v>
      </c>
      <c r="P34" s="2">
        <v>10</v>
      </c>
      <c r="Q34" s="25">
        <v>1357308</v>
      </c>
      <c r="R34" s="25">
        <v>2948606.04146939</v>
      </c>
      <c r="S34" s="25">
        <v>2948606</v>
      </c>
      <c r="T34" s="25">
        <v>0</v>
      </c>
      <c r="U34" s="25">
        <v>7675867.9585306104</v>
      </c>
      <c r="V34" s="25">
        <v>2240941</v>
      </c>
      <c r="W34" s="13">
        <v>0</v>
      </c>
      <c r="X34" s="13">
        <v>0</v>
      </c>
      <c r="Y34" s="13">
        <f t="shared" si="0"/>
        <v>0</v>
      </c>
      <c r="Z34" s="13"/>
      <c r="AA34" s="31"/>
      <c r="AB34" s="30"/>
    </row>
    <row r="35" spans="2:28">
      <c r="B35" s="11">
        <v>25</v>
      </c>
      <c r="C35" s="1" t="s">
        <v>345</v>
      </c>
      <c r="D35" s="1" t="s">
        <v>346</v>
      </c>
      <c r="E35" s="1" t="s">
        <v>347</v>
      </c>
      <c r="F35" s="29" t="s">
        <v>307</v>
      </c>
      <c r="G35" s="11">
        <v>2023</v>
      </c>
      <c r="H35" s="16">
        <v>45062</v>
      </c>
      <c r="I35" s="16">
        <v>45572</v>
      </c>
      <c r="J35" s="11" t="s">
        <v>308</v>
      </c>
      <c r="K35" s="12" t="s">
        <v>308</v>
      </c>
      <c r="L35" s="16">
        <v>45366</v>
      </c>
      <c r="M35" s="12" t="s">
        <v>41</v>
      </c>
      <c r="N35" s="11" t="s">
        <v>42</v>
      </c>
      <c r="O35" s="25">
        <v>13573080</v>
      </c>
      <c r="P35" s="2">
        <v>10</v>
      </c>
      <c r="Q35" s="25">
        <v>1357308</v>
      </c>
      <c r="R35" s="25">
        <v>2948606.04146939</v>
      </c>
      <c r="S35" s="25">
        <v>0</v>
      </c>
      <c r="T35" s="25">
        <v>7675868</v>
      </c>
      <c r="U35" s="25">
        <v>2948605.9585306104</v>
      </c>
      <c r="V35" s="25">
        <v>0</v>
      </c>
      <c r="W35" s="13">
        <v>5833659.9999999898</v>
      </c>
      <c r="X35" s="13">
        <v>0</v>
      </c>
      <c r="Y35" s="13">
        <f t="shared" si="0"/>
        <v>0</v>
      </c>
      <c r="Z35" s="13"/>
      <c r="AA35" s="31"/>
      <c r="AB35" s="30"/>
    </row>
    <row r="36" spans="2:28">
      <c r="B36" s="11">
        <v>26</v>
      </c>
      <c r="C36" s="1" t="s">
        <v>348</v>
      </c>
      <c r="D36" s="1" t="s">
        <v>349</v>
      </c>
      <c r="E36" s="1" t="s">
        <v>350</v>
      </c>
      <c r="F36" s="29" t="s">
        <v>307</v>
      </c>
      <c r="G36" s="11">
        <v>2023</v>
      </c>
      <c r="H36" s="16">
        <v>45178</v>
      </c>
      <c r="I36" s="16">
        <v>45544</v>
      </c>
      <c r="J36" s="11">
        <v>2621</v>
      </c>
      <c r="K36" s="12" t="s">
        <v>351</v>
      </c>
      <c r="L36" s="16">
        <v>45289</v>
      </c>
      <c r="M36" s="12" t="s">
        <v>41</v>
      </c>
      <c r="N36" s="11" t="s">
        <v>42</v>
      </c>
      <c r="O36" s="25">
        <v>6237949</v>
      </c>
      <c r="P36" s="2">
        <v>5</v>
      </c>
      <c r="Q36" s="25">
        <v>311897.45</v>
      </c>
      <c r="R36" s="25">
        <v>3118974.5</v>
      </c>
      <c r="S36" s="25">
        <v>767250</v>
      </c>
      <c r="T36" s="25">
        <v>0</v>
      </c>
      <c r="U36" s="25">
        <v>2351724.5</v>
      </c>
      <c r="V36" s="25">
        <v>583110</v>
      </c>
      <c r="W36" s="13">
        <v>0</v>
      </c>
      <c r="X36" s="13">
        <v>0</v>
      </c>
      <c r="Y36" s="13">
        <f t="shared" si="0"/>
        <v>0</v>
      </c>
      <c r="Z36" s="13"/>
      <c r="AA36" s="31"/>
      <c r="AB36" s="30"/>
    </row>
    <row r="37" spans="2:28">
      <c r="B37" s="11">
        <v>27</v>
      </c>
      <c r="C37" s="1" t="s">
        <v>352</v>
      </c>
      <c r="D37" s="1" t="s">
        <v>349</v>
      </c>
      <c r="E37" s="1" t="s">
        <v>350</v>
      </c>
      <c r="F37" s="29" t="s">
        <v>307</v>
      </c>
      <c r="G37" s="11">
        <v>2023</v>
      </c>
      <c r="H37" s="16">
        <v>45178</v>
      </c>
      <c r="I37" s="16">
        <v>45544</v>
      </c>
      <c r="J37" s="11">
        <v>2621</v>
      </c>
      <c r="K37" s="12" t="s">
        <v>351</v>
      </c>
      <c r="L37" s="16">
        <v>45365</v>
      </c>
      <c r="M37" s="12" t="s">
        <v>41</v>
      </c>
      <c r="N37" s="11" t="s">
        <v>42</v>
      </c>
      <c r="O37" s="28">
        <v>6237949</v>
      </c>
      <c r="P37" s="2">
        <v>5</v>
      </c>
      <c r="Q37" s="25">
        <v>311897.45</v>
      </c>
      <c r="R37" s="28">
        <v>3118974.5</v>
      </c>
      <c r="S37" s="28">
        <v>2351724</v>
      </c>
      <c r="T37" s="28">
        <v>0</v>
      </c>
      <c r="U37" s="25">
        <v>767250.5</v>
      </c>
      <c r="V37" s="25">
        <v>1787311</v>
      </c>
      <c r="W37" s="18">
        <v>0</v>
      </c>
      <c r="X37" s="13">
        <v>34591</v>
      </c>
      <c r="Y37" s="13">
        <f t="shared" si="0"/>
        <v>26289.16</v>
      </c>
      <c r="Z37" s="13"/>
      <c r="AA37" s="31"/>
      <c r="AB37" s="30"/>
    </row>
    <row r="38" spans="2:28">
      <c r="B38" s="11">
        <v>28</v>
      </c>
      <c r="C38" s="1" t="s">
        <v>352</v>
      </c>
      <c r="D38" s="1" t="s">
        <v>349</v>
      </c>
      <c r="E38" s="1" t="s">
        <v>350</v>
      </c>
      <c r="F38" s="29" t="s">
        <v>307</v>
      </c>
      <c r="G38" s="11">
        <v>2023</v>
      </c>
      <c r="H38" s="16">
        <v>45178</v>
      </c>
      <c r="I38" s="16">
        <v>45544</v>
      </c>
      <c r="J38" s="11">
        <v>2621</v>
      </c>
      <c r="K38" s="12" t="s">
        <v>351</v>
      </c>
      <c r="L38" s="16">
        <v>45365</v>
      </c>
      <c r="M38" s="12" t="s">
        <v>41</v>
      </c>
      <c r="N38" s="11" t="s">
        <v>60</v>
      </c>
      <c r="O38" s="25">
        <v>4699.24</v>
      </c>
      <c r="P38" s="2">
        <v>5</v>
      </c>
      <c r="Q38" s="25">
        <v>234.96199999999999</v>
      </c>
      <c r="R38" s="25">
        <v>2349.62</v>
      </c>
      <c r="S38" s="25">
        <v>2349.61</v>
      </c>
      <c r="T38" s="25">
        <v>0</v>
      </c>
      <c r="U38" s="25">
        <v>9.9999999997635314E-3</v>
      </c>
      <c r="V38" s="25">
        <v>1785.71</v>
      </c>
      <c r="W38" s="13">
        <v>0</v>
      </c>
      <c r="X38" s="13">
        <v>34591</v>
      </c>
      <c r="Y38" s="13">
        <f t="shared" si="0"/>
        <v>26289.16</v>
      </c>
      <c r="Z38" s="13"/>
      <c r="AA38" s="31"/>
      <c r="AB38" s="30"/>
    </row>
    <row r="39" spans="2:28">
      <c r="B39" s="11">
        <v>29</v>
      </c>
      <c r="C39" s="1" t="s">
        <v>353</v>
      </c>
      <c r="D39" s="1" t="s">
        <v>354</v>
      </c>
      <c r="E39" s="1" t="s">
        <v>355</v>
      </c>
      <c r="F39" s="29" t="s">
        <v>307</v>
      </c>
      <c r="G39" s="11">
        <v>2023</v>
      </c>
      <c r="H39" s="16">
        <v>45291</v>
      </c>
      <c r="I39" s="16">
        <v>45657</v>
      </c>
      <c r="J39" s="11" t="s">
        <v>154</v>
      </c>
      <c r="K39" s="12" t="s">
        <v>155</v>
      </c>
      <c r="L39" s="16">
        <v>45365</v>
      </c>
      <c r="M39" s="12" t="s">
        <v>41</v>
      </c>
      <c r="N39" s="11" t="s">
        <v>42</v>
      </c>
      <c r="O39" s="25">
        <v>16471560</v>
      </c>
      <c r="P39" s="2">
        <v>10</v>
      </c>
      <c r="Q39" s="25">
        <v>1647156</v>
      </c>
      <c r="R39" s="25">
        <v>8235780</v>
      </c>
      <c r="S39" s="25">
        <v>8235781</v>
      </c>
      <c r="T39" s="25">
        <v>0</v>
      </c>
      <c r="U39" s="25">
        <v>-1</v>
      </c>
      <c r="V39" s="25">
        <v>6259193</v>
      </c>
      <c r="W39" s="13">
        <v>0</v>
      </c>
      <c r="X39" s="13">
        <v>0</v>
      </c>
      <c r="Y39" s="13">
        <f t="shared" si="0"/>
        <v>0</v>
      </c>
      <c r="Z39" s="13"/>
      <c r="AA39" s="31"/>
      <c r="AB39" s="30"/>
    </row>
    <row r="40" spans="2:28">
      <c r="B40" s="11">
        <v>30</v>
      </c>
      <c r="C40" s="1" t="s">
        <v>356</v>
      </c>
      <c r="D40" s="1" t="s">
        <v>357</v>
      </c>
      <c r="E40" s="1" t="s">
        <v>358</v>
      </c>
      <c r="F40" s="29" t="s">
        <v>307</v>
      </c>
      <c r="G40" s="11">
        <v>2023</v>
      </c>
      <c r="H40" s="16">
        <v>45291</v>
      </c>
      <c r="I40" s="16">
        <v>45657</v>
      </c>
      <c r="J40" s="11">
        <v>23002</v>
      </c>
      <c r="K40" s="12" t="s">
        <v>359</v>
      </c>
      <c r="L40" s="16">
        <v>45355</v>
      </c>
      <c r="M40" s="12" t="s">
        <v>41</v>
      </c>
      <c r="N40" s="11" t="s">
        <v>42</v>
      </c>
      <c r="O40" s="25">
        <v>1739831.92</v>
      </c>
      <c r="P40" s="2">
        <v>20</v>
      </c>
      <c r="Q40" s="25">
        <v>347966.38400000002</v>
      </c>
      <c r="R40" s="25">
        <v>869915.96</v>
      </c>
      <c r="S40" s="25">
        <v>869915</v>
      </c>
      <c r="T40" s="25">
        <v>0</v>
      </c>
      <c r="U40" s="25">
        <v>0.9599999999627471</v>
      </c>
      <c r="V40" s="25">
        <v>661136</v>
      </c>
      <c r="W40" s="13">
        <v>0</v>
      </c>
      <c r="X40" s="13">
        <v>0</v>
      </c>
      <c r="Y40" s="13">
        <f t="shared" si="0"/>
        <v>0</v>
      </c>
      <c r="Z40" s="13"/>
      <c r="AA40" s="31"/>
      <c r="AB40" s="30"/>
    </row>
    <row r="41" spans="2:28">
      <c r="B41" s="11">
        <v>31</v>
      </c>
      <c r="C41" s="1" t="s">
        <v>360</v>
      </c>
      <c r="D41" s="1" t="s">
        <v>361</v>
      </c>
      <c r="E41" s="1" t="s">
        <v>158</v>
      </c>
      <c r="F41" s="29" t="s">
        <v>307</v>
      </c>
      <c r="G41" s="11">
        <v>2023</v>
      </c>
      <c r="H41" s="16">
        <v>45291</v>
      </c>
      <c r="I41" s="16">
        <v>45657</v>
      </c>
      <c r="J41" s="11">
        <v>23002</v>
      </c>
      <c r="K41" s="12" t="s">
        <v>362</v>
      </c>
      <c r="L41" s="16">
        <v>45490</v>
      </c>
      <c r="M41" s="12" t="s">
        <v>41</v>
      </c>
      <c r="N41" s="11" t="s">
        <v>60</v>
      </c>
      <c r="O41" s="25">
        <v>125.4</v>
      </c>
      <c r="P41" s="2">
        <v>20</v>
      </c>
      <c r="Q41" s="25">
        <v>25.080000000000002</v>
      </c>
      <c r="R41" s="25">
        <v>40.99</v>
      </c>
      <c r="S41" s="25">
        <v>67.69</v>
      </c>
      <c r="T41" s="25">
        <v>0</v>
      </c>
      <c r="U41" s="25">
        <v>16.72</v>
      </c>
      <c r="V41" s="25">
        <v>51.45</v>
      </c>
      <c r="W41" s="13">
        <v>0</v>
      </c>
      <c r="X41" s="13">
        <v>0</v>
      </c>
      <c r="Y41" s="13">
        <f t="shared" si="0"/>
        <v>0</v>
      </c>
      <c r="Z41" s="13"/>
      <c r="AA41" s="31"/>
      <c r="AB41" s="30"/>
    </row>
    <row r="42" spans="2:28">
      <c r="B42" s="11">
        <v>32</v>
      </c>
      <c r="C42" s="1" t="s">
        <v>360</v>
      </c>
      <c r="D42" s="1" t="s">
        <v>361</v>
      </c>
      <c r="E42" s="1" t="s">
        <v>158</v>
      </c>
      <c r="F42" s="29" t="s">
        <v>307</v>
      </c>
      <c r="G42" s="11">
        <v>2023</v>
      </c>
      <c r="H42" s="16">
        <v>45291</v>
      </c>
      <c r="I42" s="16">
        <v>45657</v>
      </c>
      <c r="J42" s="11">
        <v>23002</v>
      </c>
      <c r="K42" s="12" t="s">
        <v>362</v>
      </c>
      <c r="L42" s="16">
        <v>45490</v>
      </c>
      <c r="M42" s="12" t="s">
        <v>41</v>
      </c>
      <c r="N42" s="11" t="s">
        <v>60</v>
      </c>
      <c r="O42" s="25">
        <v>125.4</v>
      </c>
      <c r="P42" s="2">
        <v>20</v>
      </c>
      <c r="Q42" s="25">
        <v>25.080000000000002</v>
      </c>
      <c r="R42" s="25">
        <v>40.99</v>
      </c>
      <c r="S42" s="25">
        <v>0</v>
      </c>
      <c r="T42" s="25">
        <v>6.77</v>
      </c>
      <c r="U42" s="25">
        <v>77.64</v>
      </c>
      <c r="V42" s="25">
        <v>0</v>
      </c>
      <c r="W42" s="13">
        <v>5.14</v>
      </c>
      <c r="X42" s="13">
        <v>0</v>
      </c>
      <c r="Y42" s="13">
        <f t="shared" si="0"/>
        <v>0</v>
      </c>
      <c r="Z42" s="13"/>
      <c r="AA42" s="31"/>
      <c r="AB42" s="30"/>
    </row>
    <row r="43" spans="2:28">
      <c r="B43" s="11">
        <v>33</v>
      </c>
      <c r="C43" s="1" t="s">
        <v>363</v>
      </c>
      <c r="D43" s="1" t="s">
        <v>364</v>
      </c>
      <c r="E43" s="1" t="s">
        <v>169</v>
      </c>
      <c r="F43" s="29" t="s">
        <v>307</v>
      </c>
      <c r="G43" s="11">
        <v>2023</v>
      </c>
      <c r="H43" s="16">
        <v>45291</v>
      </c>
      <c r="I43" s="16">
        <v>45657</v>
      </c>
      <c r="J43" s="11">
        <v>23002</v>
      </c>
      <c r="K43" s="12" t="s">
        <v>159</v>
      </c>
      <c r="L43" s="16">
        <v>45353</v>
      </c>
      <c r="M43" s="12" t="s">
        <v>41</v>
      </c>
      <c r="N43" s="11" t="s">
        <v>42</v>
      </c>
      <c r="O43" s="25">
        <v>17229347.609999999</v>
      </c>
      <c r="P43" s="2">
        <v>20</v>
      </c>
      <c r="Q43" s="25">
        <v>3445869.5219999999</v>
      </c>
      <c r="R43" s="25">
        <v>8614673.8049999997</v>
      </c>
      <c r="S43" s="25">
        <v>3854542</v>
      </c>
      <c r="T43" s="25">
        <v>0</v>
      </c>
      <c r="U43" s="25">
        <v>4760131.8049999997</v>
      </c>
      <c r="V43" s="25">
        <v>2929452</v>
      </c>
      <c r="W43" s="13">
        <v>0</v>
      </c>
      <c r="X43" s="13">
        <v>0</v>
      </c>
      <c r="Y43" s="13">
        <f t="shared" si="0"/>
        <v>0</v>
      </c>
      <c r="Z43" s="13"/>
      <c r="AA43" s="31"/>
      <c r="AB43" s="30"/>
    </row>
    <row r="44" spans="2:28" s="14" customFormat="1">
      <c r="B44" s="11">
        <v>34</v>
      </c>
      <c r="C44" s="12" t="s">
        <v>363</v>
      </c>
      <c r="D44" s="12" t="s">
        <v>364</v>
      </c>
      <c r="E44" s="12" t="s">
        <v>169</v>
      </c>
      <c r="F44" s="29" t="s">
        <v>307</v>
      </c>
      <c r="G44" s="11">
        <v>2023</v>
      </c>
      <c r="H44" s="16">
        <v>45291</v>
      </c>
      <c r="I44" s="16">
        <v>45657</v>
      </c>
      <c r="J44" s="11">
        <v>23002</v>
      </c>
      <c r="K44" s="12" t="s">
        <v>159</v>
      </c>
      <c r="L44" s="16">
        <v>45353</v>
      </c>
      <c r="M44" s="12" t="s">
        <v>41</v>
      </c>
      <c r="N44" s="11" t="s">
        <v>60</v>
      </c>
      <c r="O44" s="25">
        <v>13124.65</v>
      </c>
      <c r="P44" s="2">
        <v>20</v>
      </c>
      <c r="Q44" s="25">
        <v>2624.9300000000003</v>
      </c>
      <c r="R44" s="25">
        <v>5768.43</v>
      </c>
      <c r="S44" s="25">
        <v>3777.66</v>
      </c>
      <c r="T44" s="25">
        <v>0</v>
      </c>
      <c r="U44" s="25">
        <v>3578.5599999999995</v>
      </c>
      <c r="V44" s="25">
        <v>2871.03</v>
      </c>
      <c r="W44" s="13">
        <v>0</v>
      </c>
      <c r="X44" s="13">
        <v>0</v>
      </c>
      <c r="Y44" s="13">
        <f t="shared" si="0"/>
        <v>0</v>
      </c>
      <c r="Z44" s="13"/>
      <c r="AA44" s="31"/>
      <c r="AB44" s="30"/>
    </row>
    <row r="45" spans="2:28">
      <c r="B45" s="11">
        <v>35</v>
      </c>
      <c r="C45" s="1" t="s">
        <v>365</v>
      </c>
      <c r="D45" s="1" t="s">
        <v>364</v>
      </c>
      <c r="E45" s="1" t="s">
        <v>169</v>
      </c>
      <c r="F45" s="29" t="s">
        <v>307</v>
      </c>
      <c r="G45" s="11">
        <v>2023</v>
      </c>
      <c r="H45" s="16">
        <v>45291</v>
      </c>
      <c r="I45" s="16">
        <v>45657</v>
      </c>
      <c r="J45" s="11">
        <v>23002</v>
      </c>
      <c r="K45" s="12" t="s">
        <v>159</v>
      </c>
      <c r="L45" s="16">
        <v>45474</v>
      </c>
      <c r="M45" s="12" t="s">
        <v>41</v>
      </c>
      <c r="N45" s="11" t="s">
        <v>42</v>
      </c>
      <c r="O45" s="25">
        <v>17229347.609999999</v>
      </c>
      <c r="P45" s="2">
        <v>20</v>
      </c>
      <c r="Q45" s="25">
        <v>3445869.5219999999</v>
      </c>
      <c r="R45" s="25">
        <v>8614673.8049999997</v>
      </c>
      <c r="S45" s="25">
        <v>3364817</v>
      </c>
      <c r="T45" s="25">
        <v>0</v>
      </c>
      <c r="U45" s="25">
        <v>5249856.8049999997</v>
      </c>
      <c r="V45" s="25">
        <v>2557261</v>
      </c>
      <c r="W45" s="13">
        <v>0</v>
      </c>
      <c r="X45" s="13">
        <v>0</v>
      </c>
      <c r="Y45" s="13">
        <f t="shared" si="0"/>
        <v>0</v>
      </c>
      <c r="Z45" s="13"/>
      <c r="AA45" s="31"/>
      <c r="AB45" s="30"/>
    </row>
    <row r="46" spans="2:28">
      <c r="B46" s="11">
        <v>36</v>
      </c>
      <c r="C46" s="1" t="s">
        <v>365</v>
      </c>
      <c r="D46" s="1" t="s">
        <v>364</v>
      </c>
      <c r="E46" s="1" t="s">
        <v>169</v>
      </c>
      <c r="F46" s="29" t="s">
        <v>307</v>
      </c>
      <c r="G46" s="11">
        <v>2023</v>
      </c>
      <c r="H46" s="16">
        <v>45291</v>
      </c>
      <c r="I46" s="16">
        <v>45657</v>
      </c>
      <c r="J46" s="11">
        <v>23002</v>
      </c>
      <c r="K46" s="12" t="s">
        <v>159</v>
      </c>
      <c r="L46" s="16">
        <v>45474</v>
      </c>
      <c r="M46" s="12" t="s">
        <v>41</v>
      </c>
      <c r="N46" s="11" t="s">
        <v>60</v>
      </c>
      <c r="O46" s="25">
        <v>13124.65</v>
      </c>
      <c r="P46" s="2">
        <v>20</v>
      </c>
      <c r="Q46" s="25">
        <v>2624.9300000000003</v>
      </c>
      <c r="R46" s="25">
        <v>5768.43</v>
      </c>
      <c r="S46" s="25">
        <v>3156.74</v>
      </c>
      <c r="T46" s="25">
        <v>0</v>
      </c>
      <c r="U46" s="25">
        <v>4199.4799999999996</v>
      </c>
      <c r="V46" s="25">
        <v>2399.13</v>
      </c>
      <c r="W46" s="13">
        <v>0</v>
      </c>
      <c r="X46" s="13">
        <v>0</v>
      </c>
      <c r="Y46" s="13">
        <f t="shared" si="0"/>
        <v>0</v>
      </c>
      <c r="Z46" s="13"/>
      <c r="AA46" s="31"/>
      <c r="AB46" s="30"/>
    </row>
    <row r="47" spans="2:28">
      <c r="B47" s="11">
        <v>37</v>
      </c>
      <c r="C47" s="1" t="s">
        <v>366</v>
      </c>
      <c r="D47" s="1" t="s">
        <v>364</v>
      </c>
      <c r="E47" s="1" t="s">
        <v>169</v>
      </c>
      <c r="F47" s="29" t="s">
        <v>307</v>
      </c>
      <c r="G47" s="11">
        <v>2023</v>
      </c>
      <c r="H47" s="16">
        <v>45291</v>
      </c>
      <c r="I47" s="16">
        <v>45657</v>
      </c>
      <c r="J47" s="11">
        <v>23002</v>
      </c>
      <c r="K47" s="12" t="s">
        <v>159</v>
      </c>
      <c r="L47" s="16">
        <v>45489</v>
      </c>
      <c r="M47" s="12" t="s">
        <v>41</v>
      </c>
      <c r="N47" s="11" t="s">
        <v>42</v>
      </c>
      <c r="O47" s="25">
        <v>17229347.609999999</v>
      </c>
      <c r="P47" s="2">
        <v>20</v>
      </c>
      <c r="Q47" s="25">
        <v>3445869.5219999999</v>
      </c>
      <c r="R47" s="25">
        <v>8614673.8049999997</v>
      </c>
      <c r="S47" s="25">
        <v>1395314</v>
      </c>
      <c r="T47" s="25">
        <v>0</v>
      </c>
      <c r="U47" s="25">
        <v>7219359.8049999997</v>
      </c>
      <c r="V47" s="25">
        <v>1060439</v>
      </c>
      <c r="W47" s="13">
        <v>0</v>
      </c>
      <c r="X47" s="13">
        <v>0</v>
      </c>
      <c r="Y47" s="13">
        <f t="shared" si="0"/>
        <v>0</v>
      </c>
      <c r="Z47" s="13"/>
      <c r="AA47" s="31"/>
      <c r="AB47" s="30"/>
    </row>
    <row r="48" spans="2:28">
      <c r="B48" s="11">
        <v>38</v>
      </c>
      <c r="C48" s="1" t="s">
        <v>367</v>
      </c>
      <c r="D48" s="1" t="s">
        <v>368</v>
      </c>
      <c r="E48" s="1" t="s">
        <v>369</v>
      </c>
      <c r="F48" s="29" t="s">
        <v>307</v>
      </c>
      <c r="G48" s="11">
        <v>2023</v>
      </c>
      <c r="H48" s="16">
        <v>45291</v>
      </c>
      <c r="I48" s="16">
        <v>45657</v>
      </c>
      <c r="J48" s="11">
        <v>29371</v>
      </c>
      <c r="K48" s="12" t="s">
        <v>370</v>
      </c>
      <c r="L48" s="16">
        <v>45520</v>
      </c>
      <c r="M48" s="12" t="s">
        <v>41</v>
      </c>
      <c r="N48" s="11" t="s">
        <v>42</v>
      </c>
      <c r="O48" s="25">
        <v>1409000</v>
      </c>
      <c r="P48" s="2">
        <v>20</v>
      </c>
      <c r="Q48" s="25">
        <v>281800</v>
      </c>
      <c r="R48" s="25">
        <v>704500</v>
      </c>
      <c r="S48" s="25">
        <v>704500</v>
      </c>
      <c r="T48" s="25">
        <v>0</v>
      </c>
      <c r="U48" s="25">
        <v>0</v>
      </c>
      <c r="V48" s="25">
        <v>535420</v>
      </c>
      <c r="W48" s="13">
        <v>0</v>
      </c>
      <c r="X48" s="13">
        <v>0</v>
      </c>
      <c r="Y48" s="13">
        <f t="shared" si="0"/>
        <v>0</v>
      </c>
      <c r="Z48" s="13"/>
      <c r="AA48" s="31"/>
      <c r="AB48" s="30"/>
    </row>
    <row r="49" spans="2:28">
      <c r="B49" s="11">
        <v>39</v>
      </c>
      <c r="C49" s="1" t="s">
        <v>371</v>
      </c>
      <c r="D49" s="1" t="s">
        <v>372</v>
      </c>
      <c r="E49" s="1" t="s">
        <v>373</v>
      </c>
      <c r="F49" s="29" t="s">
        <v>307</v>
      </c>
      <c r="G49" s="11">
        <v>2023</v>
      </c>
      <c r="H49" s="16">
        <v>44927</v>
      </c>
      <c r="I49" s="16">
        <v>45292</v>
      </c>
      <c r="J49" s="11" t="e">
        <v>#NAME?</v>
      </c>
      <c r="K49" s="12" t="s">
        <v>374</v>
      </c>
      <c r="L49" s="16">
        <v>44951</v>
      </c>
      <c r="M49" s="12" t="s">
        <v>41</v>
      </c>
      <c r="N49" s="11" t="s">
        <v>42</v>
      </c>
      <c r="O49" s="25">
        <v>4723814.3499999996</v>
      </c>
      <c r="P49" s="2">
        <v>5</v>
      </c>
      <c r="Q49" s="25">
        <v>236190.7175</v>
      </c>
      <c r="R49" s="25">
        <v>2361907.1749999998</v>
      </c>
      <c r="S49" s="25">
        <v>2361906</v>
      </c>
      <c r="T49" s="25">
        <v>0</v>
      </c>
      <c r="U49" s="25">
        <v>1.1749999998137355</v>
      </c>
      <c r="V49" s="25">
        <v>1795049</v>
      </c>
      <c r="W49" s="13">
        <v>0</v>
      </c>
      <c r="X49" s="13">
        <v>0</v>
      </c>
      <c r="Y49" s="13">
        <f t="shared" si="0"/>
        <v>0</v>
      </c>
      <c r="Z49" s="13"/>
      <c r="AA49" s="31"/>
      <c r="AB49" s="30"/>
    </row>
    <row r="50" spans="2:28">
      <c r="B50" s="11">
        <v>40</v>
      </c>
      <c r="C50" s="1" t="s">
        <v>375</v>
      </c>
      <c r="D50" s="1" t="s">
        <v>372</v>
      </c>
      <c r="E50" s="1" t="s">
        <v>373</v>
      </c>
      <c r="F50" s="29" t="s">
        <v>307</v>
      </c>
      <c r="G50" s="11">
        <v>2023</v>
      </c>
      <c r="H50" s="16">
        <v>44927</v>
      </c>
      <c r="I50" s="16">
        <v>45292</v>
      </c>
      <c r="J50" s="11" t="e">
        <v>#NAME?</v>
      </c>
      <c r="K50" s="12" t="s">
        <v>374</v>
      </c>
      <c r="L50" s="16">
        <v>45127</v>
      </c>
      <c r="M50" s="12" t="s">
        <v>41</v>
      </c>
      <c r="N50" s="11" t="s">
        <v>42</v>
      </c>
      <c r="O50" s="25">
        <v>1250000</v>
      </c>
      <c r="P50" s="2">
        <v>5</v>
      </c>
      <c r="Q50" s="25">
        <v>62500</v>
      </c>
      <c r="R50" s="25">
        <v>625000</v>
      </c>
      <c r="S50" s="25">
        <v>625000</v>
      </c>
      <c r="T50" s="25">
        <v>0</v>
      </c>
      <c r="U50" s="25">
        <v>0</v>
      </c>
      <c r="V50" s="25">
        <v>475000</v>
      </c>
      <c r="W50" s="13">
        <v>0</v>
      </c>
      <c r="X50" s="13">
        <v>0</v>
      </c>
      <c r="Y50" s="13">
        <f t="shared" si="0"/>
        <v>0</v>
      </c>
      <c r="Z50" s="13"/>
      <c r="AA50" s="31"/>
      <c r="AB50" s="30"/>
    </row>
    <row r="51" spans="2:28">
      <c r="B51" s="11">
        <v>41</v>
      </c>
      <c r="C51" s="1" t="s">
        <v>376</v>
      </c>
      <c r="D51" s="1" t="s">
        <v>372</v>
      </c>
      <c r="E51" s="1" t="s">
        <v>373</v>
      </c>
      <c r="F51" s="29" t="s">
        <v>307</v>
      </c>
      <c r="G51" s="11">
        <v>2023</v>
      </c>
      <c r="H51" s="16">
        <v>44927</v>
      </c>
      <c r="I51" s="16">
        <v>45292</v>
      </c>
      <c r="J51" s="11" t="e">
        <v>#NAME?</v>
      </c>
      <c r="K51" s="12" t="s">
        <v>374</v>
      </c>
      <c r="L51" s="16">
        <v>45150</v>
      </c>
      <c r="M51" s="12" t="s">
        <v>41</v>
      </c>
      <c r="N51" s="11" t="s">
        <v>42</v>
      </c>
      <c r="O51" s="25">
        <v>3063240.4</v>
      </c>
      <c r="P51" s="2">
        <v>5</v>
      </c>
      <c r="Q51" s="25">
        <v>153162.01999999999</v>
      </c>
      <c r="R51" s="25">
        <v>1531620.2</v>
      </c>
      <c r="S51" s="25">
        <v>1531619</v>
      </c>
      <c r="T51" s="25">
        <v>0</v>
      </c>
      <c r="U51" s="25">
        <v>1.1999999999534339</v>
      </c>
      <c r="V51" s="25">
        <v>1164031</v>
      </c>
      <c r="W51" s="13">
        <v>0</v>
      </c>
      <c r="X51" s="13">
        <v>0</v>
      </c>
      <c r="Y51" s="13">
        <f t="shared" si="0"/>
        <v>0</v>
      </c>
      <c r="Z51" s="13"/>
      <c r="AA51" s="31"/>
      <c r="AB51" s="30"/>
    </row>
    <row r="52" spans="2:28">
      <c r="B52" s="11">
        <v>42</v>
      </c>
      <c r="C52" s="1" t="s">
        <v>377</v>
      </c>
      <c r="D52" s="1" t="s">
        <v>372</v>
      </c>
      <c r="E52" s="1" t="s">
        <v>373</v>
      </c>
      <c r="F52" s="29" t="s">
        <v>307</v>
      </c>
      <c r="G52" s="11">
        <v>2023</v>
      </c>
      <c r="H52" s="16">
        <v>44927</v>
      </c>
      <c r="I52" s="16">
        <v>45292</v>
      </c>
      <c r="J52" s="11" t="e">
        <v>#NAME?</v>
      </c>
      <c r="K52" s="12" t="s">
        <v>374</v>
      </c>
      <c r="L52" s="16">
        <v>45195</v>
      </c>
      <c r="M52" s="12" t="s">
        <v>41</v>
      </c>
      <c r="N52" s="11" t="s">
        <v>42</v>
      </c>
      <c r="O52" s="28">
        <v>12037500</v>
      </c>
      <c r="P52" s="2">
        <v>5</v>
      </c>
      <c r="Q52" s="25">
        <v>601875</v>
      </c>
      <c r="R52" s="28">
        <v>6018750</v>
      </c>
      <c r="S52" s="28">
        <v>6018750</v>
      </c>
      <c r="T52" s="28">
        <v>0</v>
      </c>
      <c r="U52" s="25">
        <v>0</v>
      </c>
      <c r="V52" s="25">
        <v>4574250</v>
      </c>
      <c r="W52" s="18">
        <v>0</v>
      </c>
      <c r="X52" s="13">
        <v>0</v>
      </c>
      <c r="Y52" s="13">
        <f t="shared" si="0"/>
        <v>0</v>
      </c>
      <c r="Z52" s="13"/>
      <c r="AA52" s="31"/>
      <c r="AB52" s="30"/>
    </row>
    <row r="53" spans="2:28">
      <c r="B53" s="11">
        <v>43</v>
      </c>
      <c r="C53" s="1" t="s">
        <v>378</v>
      </c>
      <c r="D53" s="1" t="s">
        <v>379</v>
      </c>
      <c r="E53" s="1" t="s">
        <v>380</v>
      </c>
      <c r="F53" s="29" t="s">
        <v>307</v>
      </c>
      <c r="G53" s="11">
        <v>2023</v>
      </c>
      <c r="H53" s="16">
        <v>45046</v>
      </c>
      <c r="I53" s="16">
        <v>45412</v>
      </c>
      <c r="J53" s="11" t="s">
        <v>308</v>
      </c>
      <c r="K53" s="12" t="s">
        <v>308</v>
      </c>
      <c r="L53" s="16">
        <v>45241</v>
      </c>
      <c r="M53" s="12" t="s">
        <v>190</v>
      </c>
      <c r="N53" s="11" t="s">
        <v>60</v>
      </c>
      <c r="O53" s="25">
        <v>49092.12</v>
      </c>
      <c r="P53" s="2">
        <v>100</v>
      </c>
      <c r="Q53" s="25">
        <v>49092.12</v>
      </c>
      <c r="R53" s="25">
        <v>14876.4</v>
      </c>
      <c r="S53" s="25">
        <v>14876.4</v>
      </c>
      <c r="T53" s="25">
        <v>0</v>
      </c>
      <c r="U53" s="25">
        <v>19339.32</v>
      </c>
      <c r="V53" s="25">
        <v>11306.06</v>
      </c>
      <c r="W53" s="13">
        <v>0</v>
      </c>
      <c r="X53" s="13">
        <v>118383236.750625</v>
      </c>
      <c r="Y53" s="13">
        <f t="shared" si="0"/>
        <v>89971259.930474997</v>
      </c>
      <c r="Z53" s="13"/>
      <c r="AA53" s="31"/>
      <c r="AB53" s="30"/>
    </row>
    <row r="54" spans="2:28">
      <c r="B54" s="11">
        <v>44</v>
      </c>
      <c r="C54" s="1" t="s">
        <v>378</v>
      </c>
      <c r="D54" s="1" t="s">
        <v>379</v>
      </c>
      <c r="E54" s="1" t="s">
        <v>380</v>
      </c>
      <c r="F54" s="29" t="s">
        <v>307</v>
      </c>
      <c r="G54" s="11">
        <v>2023</v>
      </c>
      <c r="H54" s="16">
        <v>45046</v>
      </c>
      <c r="I54" s="16">
        <v>45412</v>
      </c>
      <c r="J54" s="11" t="s">
        <v>308</v>
      </c>
      <c r="K54" s="12" t="s">
        <v>308</v>
      </c>
      <c r="L54" s="16">
        <v>45241</v>
      </c>
      <c r="M54" s="12" t="s">
        <v>190</v>
      </c>
      <c r="N54" s="11" t="s">
        <v>60</v>
      </c>
      <c r="O54" s="25">
        <v>49092.12</v>
      </c>
      <c r="P54" s="2">
        <v>100</v>
      </c>
      <c r="Q54" s="25">
        <v>49092.12</v>
      </c>
      <c r="R54" s="25">
        <v>14876.4</v>
      </c>
      <c r="S54" s="28">
        <v>0</v>
      </c>
      <c r="T54" s="28">
        <v>19339.32</v>
      </c>
      <c r="U54" s="25">
        <v>14876.400000000001</v>
      </c>
      <c r="V54" s="25">
        <v>0</v>
      </c>
      <c r="W54" s="18">
        <v>14697.88</v>
      </c>
      <c r="X54" s="13">
        <v>118383236.750625</v>
      </c>
      <c r="Y54" s="13">
        <f t="shared" si="0"/>
        <v>89971259.930474997</v>
      </c>
      <c r="Z54" s="13"/>
      <c r="AA54" s="31"/>
      <c r="AB54" s="30"/>
    </row>
    <row r="55" spans="2:28">
      <c r="B55" s="11">
        <v>45</v>
      </c>
      <c r="C55" s="1" t="s">
        <v>381</v>
      </c>
      <c r="D55" s="1" t="s">
        <v>382</v>
      </c>
      <c r="E55" s="1" t="s">
        <v>383</v>
      </c>
      <c r="F55" s="29" t="s">
        <v>307</v>
      </c>
      <c r="G55" s="11">
        <v>2024</v>
      </c>
      <c r="H55" s="16">
        <v>45579</v>
      </c>
      <c r="I55" s="16">
        <v>45944</v>
      </c>
      <c r="J55" s="11" t="s">
        <v>384</v>
      </c>
      <c r="K55" s="12" t="s">
        <v>385</v>
      </c>
      <c r="L55" s="16">
        <v>45698</v>
      </c>
      <c r="M55" s="12" t="s">
        <v>213</v>
      </c>
      <c r="N55" s="11" t="s">
        <v>42</v>
      </c>
      <c r="O55" s="25">
        <v>1217806</v>
      </c>
      <c r="P55" s="2">
        <v>100</v>
      </c>
      <c r="Q55" s="25">
        <v>1217806</v>
      </c>
      <c r="R55" s="25">
        <v>608903</v>
      </c>
      <c r="S55" s="25">
        <v>608902.99999999895</v>
      </c>
      <c r="T55" s="25">
        <v>0</v>
      </c>
      <c r="U55" s="25">
        <v>1.0477378964424133E-9</v>
      </c>
      <c r="V55" s="25">
        <v>554102</v>
      </c>
      <c r="W55" s="13">
        <v>0</v>
      </c>
      <c r="X55" s="13">
        <v>0</v>
      </c>
      <c r="Y55" s="13">
        <f t="shared" ref="Y55:Y98" si="1">X55*91%</f>
        <v>0</v>
      </c>
      <c r="Z55" s="13"/>
      <c r="AA55" s="31"/>
      <c r="AB55" s="30"/>
    </row>
    <row r="56" spans="2:28">
      <c r="B56" s="11">
        <v>46</v>
      </c>
      <c r="C56" s="1" t="s">
        <v>386</v>
      </c>
      <c r="D56" s="1" t="s">
        <v>387</v>
      </c>
      <c r="E56" s="1" t="s">
        <v>388</v>
      </c>
      <c r="F56" s="29" t="s">
        <v>307</v>
      </c>
      <c r="G56" s="11">
        <v>2024</v>
      </c>
      <c r="H56" s="16">
        <v>45470</v>
      </c>
      <c r="I56" s="16">
        <v>45835</v>
      </c>
      <c r="J56" s="11">
        <v>2223</v>
      </c>
      <c r="K56" s="12" t="s">
        <v>389</v>
      </c>
      <c r="L56" s="16">
        <v>45575</v>
      </c>
      <c r="M56" s="12" t="s">
        <v>213</v>
      </c>
      <c r="N56" s="11" t="s">
        <v>42</v>
      </c>
      <c r="O56" s="28">
        <v>242777389</v>
      </c>
      <c r="P56" s="2">
        <v>100</v>
      </c>
      <c r="Q56" s="25">
        <v>242777389</v>
      </c>
      <c r="R56" s="28">
        <v>121388694.5</v>
      </c>
      <c r="S56" s="28">
        <v>121388695</v>
      </c>
      <c r="T56" s="28">
        <v>0</v>
      </c>
      <c r="U56" s="25">
        <v>-0.5</v>
      </c>
      <c r="V56" s="25">
        <v>110463712</v>
      </c>
      <c r="W56" s="18">
        <v>0</v>
      </c>
      <c r="X56" s="13">
        <v>0</v>
      </c>
      <c r="Y56" s="13">
        <f t="shared" si="1"/>
        <v>0</v>
      </c>
      <c r="Z56" s="13"/>
      <c r="AA56" s="31"/>
      <c r="AB56" s="30"/>
    </row>
    <row r="57" spans="2:28" s="14" customFormat="1">
      <c r="B57" s="11">
        <v>47</v>
      </c>
      <c r="C57" s="12" t="s">
        <v>390</v>
      </c>
      <c r="D57" s="12" t="s">
        <v>391</v>
      </c>
      <c r="E57" s="12" t="s">
        <v>392</v>
      </c>
      <c r="F57" s="29" t="s">
        <v>307</v>
      </c>
      <c r="G57" s="11">
        <v>2024</v>
      </c>
      <c r="H57" s="16">
        <v>45519</v>
      </c>
      <c r="I57" s="16">
        <v>45884</v>
      </c>
      <c r="J57" s="11" t="s">
        <v>393</v>
      </c>
      <c r="K57" s="12" t="s">
        <v>394</v>
      </c>
      <c r="L57" s="16">
        <v>45741</v>
      </c>
      <c r="M57" s="12" t="s">
        <v>213</v>
      </c>
      <c r="N57" s="11" t="s">
        <v>42</v>
      </c>
      <c r="O57" s="25">
        <v>427427777</v>
      </c>
      <c r="P57" s="2">
        <v>100</v>
      </c>
      <c r="Q57" s="25">
        <v>427427777</v>
      </c>
      <c r="R57" s="25">
        <v>213713888.5</v>
      </c>
      <c r="S57" s="25">
        <v>213713889</v>
      </c>
      <c r="T57" s="25">
        <v>0</v>
      </c>
      <c r="U57" s="25">
        <v>-0.5</v>
      </c>
      <c r="V57" s="25">
        <v>194479639</v>
      </c>
      <c r="W57" s="13">
        <v>0</v>
      </c>
      <c r="X57" s="13">
        <v>0</v>
      </c>
      <c r="Y57" s="13">
        <f t="shared" si="1"/>
        <v>0</v>
      </c>
      <c r="Z57" s="13"/>
      <c r="AA57" s="31"/>
      <c r="AB57" s="30"/>
    </row>
    <row r="58" spans="2:28">
      <c r="B58" s="11">
        <v>48</v>
      </c>
      <c r="C58" s="1" t="s">
        <v>395</v>
      </c>
      <c r="D58" s="1" t="s">
        <v>396</v>
      </c>
      <c r="E58" s="1" t="s">
        <v>397</v>
      </c>
      <c r="F58" s="29" t="s">
        <v>307</v>
      </c>
      <c r="G58" s="11">
        <v>2024</v>
      </c>
      <c r="H58" s="16">
        <v>45565</v>
      </c>
      <c r="I58" s="16">
        <v>45714</v>
      </c>
      <c r="J58" s="11">
        <v>2118</v>
      </c>
      <c r="K58" s="12" t="s">
        <v>398</v>
      </c>
      <c r="L58" s="16">
        <v>45575</v>
      </c>
      <c r="M58" s="12" t="s">
        <v>213</v>
      </c>
      <c r="N58" s="11" t="s">
        <v>42</v>
      </c>
      <c r="O58" s="25">
        <v>238871705</v>
      </c>
      <c r="P58" s="2">
        <v>100</v>
      </c>
      <c r="Q58" s="25">
        <v>238871705</v>
      </c>
      <c r="R58" s="25">
        <v>119435852.5</v>
      </c>
      <c r="S58" s="25">
        <v>119435852</v>
      </c>
      <c r="T58" s="25">
        <v>0</v>
      </c>
      <c r="U58" s="25">
        <v>0.5</v>
      </c>
      <c r="V58" s="25">
        <v>108686626</v>
      </c>
      <c r="W58" s="13">
        <v>0</v>
      </c>
      <c r="X58" s="13">
        <v>0</v>
      </c>
      <c r="Y58" s="13">
        <f t="shared" si="1"/>
        <v>0</v>
      </c>
      <c r="Z58" s="13"/>
      <c r="AA58" s="31"/>
      <c r="AB58" s="30"/>
    </row>
    <row r="59" spans="2:28">
      <c r="B59" s="11">
        <v>49</v>
      </c>
      <c r="C59" s="1" t="s">
        <v>399</v>
      </c>
      <c r="D59" s="1" t="s">
        <v>400</v>
      </c>
      <c r="E59" s="1" t="s">
        <v>401</v>
      </c>
      <c r="F59" s="29" t="s">
        <v>307</v>
      </c>
      <c r="G59" s="11">
        <v>2024</v>
      </c>
      <c r="H59" s="16">
        <v>45353</v>
      </c>
      <c r="I59" s="16">
        <v>45718</v>
      </c>
      <c r="J59" s="11" t="s">
        <v>308</v>
      </c>
      <c r="K59" s="12" t="s">
        <v>308</v>
      </c>
      <c r="L59" s="16">
        <v>45551</v>
      </c>
      <c r="M59" s="12" t="s">
        <v>213</v>
      </c>
      <c r="N59" s="11" t="s">
        <v>42</v>
      </c>
      <c r="O59" s="25">
        <v>46490582</v>
      </c>
      <c r="P59" s="2">
        <v>100</v>
      </c>
      <c r="Q59" s="25">
        <v>46490582</v>
      </c>
      <c r="R59" s="25">
        <v>23245291</v>
      </c>
      <c r="S59" s="25">
        <v>23245292</v>
      </c>
      <c r="T59" s="25">
        <v>0</v>
      </c>
      <c r="U59" s="25">
        <v>-1</v>
      </c>
      <c r="V59" s="25">
        <v>21153215</v>
      </c>
      <c r="W59" s="13">
        <v>0</v>
      </c>
      <c r="X59" s="13">
        <v>0</v>
      </c>
      <c r="Y59" s="13">
        <f t="shared" si="1"/>
        <v>0</v>
      </c>
      <c r="Z59" s="13"/>
      <c r="AA59" s="31"/>
      <c r="AB59" s="30"/>
    </row>
    <row r="60" spans="2:28">
      <c r="B60" s="11">
        <v>50</v>
      </c>
      <c r="C60" s="1" t="s">
        <v>402</v>
      </c>
      <c r="D60" s="1" t="s">
        <v>403</v>
      </c>
      <c r="E60" s="1" t="s">
        <v>404</v>
      </c>
      <c r="F60" s="29" t="s">
        <v>307</v>
      </c>
      <c r="G60" s="11">
        <v>2024</v>
      </c>
      <c r="H60" s="16">
        <v>45555</v>
      </c>
      <c r="I60" s="16">
        <v>45920</v>
      </c>
      <c r="J60" s="11" t="s">
        <v>308</v>
      </c>
      <c r="K60" s="12" t="s">
        <v>308</v>
      </c>
      <c r="L60" s="16">
        <v>45646</v>
      </c>
      <c r="M60" s="12" t="s">
        <v>213</v>
      </c>
      <c r="N60" s="11" t="s">
        <v>42</v>
      </c>
      <c r="O60" s="25">
        <v>404123940</v>
      </c>
      <c r="P60" s="2">
        <v>100</v>
      </c>
      <c r="Q60" s="25">
        <v>404123940</v>
      </c>
      <c r="R60" s="25">
        <v>202061970</v>
      </c>
      <c r="S60" s="25">
        <v>202061969</v>
      </c>
      <c r="T60" s="25">
        <v>0</v>
      </c>
      <c r="U60" s="25">
        <v>1</v>
      </c>
      <c r="V60" s="25">
        <v>183876393</v>
      </c>
      <c r="W60" s="13">
        <v>0</v>
      </c>
      <c r="X60" s="13">
        <v>106526107</v>
      </c>
      <c r="Y60" s="13">
        <f t="shared" si="1"/>
        <v>96938757.370000005</v>
      </c>
      <c r="Z60" s="13"/>
      <c r="AA60" s="31"/>
      <c r="AB60" s="30"/>
    </row>
    <row r="61" spans="2:28">
      <c r="B61" s="11">
        <v>51</v>
      </c>
      <c r="C61" s="1" t="s">
        <v>405</v>
      </c>
      <c r="D61" s="1" t="s">
        <v>406</v>
      </c>
      <c r="E61" s="1" t="s">
        <v>404</v>
      </c>
      <c r="F61" s="29" t="s">
        <v>307</v>
      </c>
      <c r="G61" s="11">
        <v>2024</v>
      </c>
      <c r="H61" s="16">
        <v>45519</v>
      </c>
      <c r="I61" s="16">
        <v>45884</v>
      </c>
      <c r="J61" s="11" t="s">
        <v>308</v>
      </c>
      <c r="K61" s="12" t="s">
        <v>308</v>
      </c>
      <c r="L61" s="16">
        <v>45575</v>
      </c>
      <c r="M61" s="12" t="s">
        <v>213</v>
      </c>
      <c r="N61" s="11" t="s">
        <v>42</v>
      </c>
      <c r="O61" s="25">
        <v>397433021.10000002</v>
      </c>
      <c r="P61" s="2">
        <v>100</v>
      </c>
      <c r="Q61" s="25">
        <v>397433021.10000002</v>
      </c>
      <c r="R61" s="25">
        <v>198716510.55000001</v>
      </c>
      <c r="S61" s="25">
        <v>198716511</v>
      </c>
      <c r="T61" s="25">
        <v>0</v>
      </c>
      <c r="U61" s="25">
        <v>-0.44999998807907104</v>
      </c>
      <c r="V61" s="25">
        <v>180832025</v>
      </c>
      <c r="W61" s="13">
        <v>0</v>
      </c>
      <c r="X61" s="13">
        <v>0</v>
      </c>
      <c r="Y61" s="13">
        <f t="shared" si="1"/>
        <v>0</v>
      </c>
      <c r="Z61" s="13"/>
      <c r="AA61" s="31"/>
      <c r="AB61" s="30"/>
    </row>
    <row r="62" spans="2:28">
      <c r="B62" s="11">
        <v>52</v>
      </c>
      <c r="C62" s="1" t="s">
        <v>407</v>
      </c>
      <c r="D62" s="1" t="s">
        <v>408</v>
      </c>
      <c r="E62" s="1" t="s">
        <v>409</v>
      </c>
      <c r="F62" s="29" t="s">
        <v>307</v>
      </c>
      <c r="G62" s="11">
        <v>2024</v>
      </c>
      <c r="H62" s="16">
        <v>45378</v>
      </c>
      <c r="I62" s="16">
        <v>47204</v>
      </c>
      <c r="J62" s="11" t="s">
        <v>308</v>
      </c>
      <c r="K62" s="12" t="s">
        <v>308</v>
      </c>
      <c r="L62" s="16">
        <v>45577</v>
      </c>
      <c r="M62" s="12" t="s">
        <v>213</v>
      </c>
      <c r="N62" s="11" t="s">
        <v>42</v>
      </c>
      <c r="O62" s="25">
        <v>17805000</v>
      </c>
      <c r="P62" s="2">
        <v>100</v>
      </c>
      <c r="Q62" s="25">
        <v>17805000</v>
      </c>
      <c r="R62" s="25">
        <v>8902500</v>
      </c>
      <c r="S62" s="25">
        <v>8902500</v>
      </c>
      <c r="T62" s="25">
        <v>0</v>
      </c>
      <c r="U62" s="25">
        <v>0</v>
      </c>
      <c r="V62" s="25">
        <v>8101275</v>
      </c>
      <c r="W62" s="13">
        <v>0</v>
      </c>
      <c r="X62" s="13">
        <v>0</v>
      </c>
      <c r="Y62" s="13">
        <f t="shared" si="1"/>
        <v>0</v>
      </c>
      <c r="Z62" s="13"/>
      <c r="AA62" s="31"/>
      <c r="AB62" s="30"/>
    </row>
    <row r="63" spans="2:28">
      <c r="B63" s="11">
        <v>53</v>
      </c>
      <c r="C63" s="1" t="s">
        <v>410</v>
      </c>
      <c r="D63" s="1" t="s">
        <v>411</v>
      </c>
      <c r="E63" s="1" t="s">
        <v>412</v>
      </c>
      <c r="F63" s="29" t="s">
        <v>307</v>
      </c>
      <c r="G63" s="11">
        <v>2024</v>
      </c>
      <c r="H63" s="16">
        <v>45546</v>
      </c>
      <c r="I63" s="16">
        <v>45910</v>
      </c>
      <c r="J63" s="11">
        <v>2028</v>
      </c>
      <c r="K63" s="12" t="s">
        <v>413</v>
      </c>
      <c r="L63" s="16">
        <v>45580</v>
      </c>
      <c r="M63" s="12" t="s">
        <v>213</v>
      </c>
      <c r="N63" s="11" t="s">
        <v>42</v>
      </c>
      <c r="O63" s="25">
        <v>200541317.59999999</v>
      </c>
      <c r="P63" s="2">
        <v>100</v>
      </c>
      <c r="Q63" s="25">
        <v>200541317.59999999</v>
      </c>
      <c r="R63" s="25">
        <v>100270658.8</v>
      </c>
      <c r="S63" s="25">
        <v>100270659</v>
      </c>
      <c r="T63" s="25">
        <v>0</v>
      </c>
      <c r="U63" s="25">
        <v>-0.20000000298023224</v>
      </c>
      <c r="V63" s="25">
        <v>91246300</v>
      </c>
      <c r="W63" s="13">
        <v>0</v>
      </c>
      <c r="X63" s="13">
        <v>151458682.40000001</v>
      </c>
      <c r="Y63" s="13">
        <f t="shared" si="1"/>
        <v>137827400.984</v>
      </c>
      <c r="Z63" s="13"/>
      <c r="AA63" s="31"/>
      <c r="AB63" s="30"/>
    </row>
    <row r="64" spans="2:28">
      <c r="B64" s="11">
        <v>54</v>
      </c>
      <c r="C64" s="1" t="s">
        <v>414</v>
      </c>
      <c r="D64" s="1" t="s">
        <v>415</v>
      </c>
      <c r="E64" s="1" t="s">
        <v>416</v>
      </c>
      <c r="F64" s="29" t="s">
        <v>307</v>
      </c>
      <c r="G64" s="11">
        <v>2024</v>
      </c>
      <c r="H64" s="16">
        <v>45626</v>
      </c>
      <c r="I64" s="16">
        <v>45991</v>
      </c>
      <c r="J64" s="11">
        <v>2028</v>
      </c>
      <c r="K64" s="12" t="s">
        <v>417</v>
      </c>
      <c r="L64" s="16">
        <v>45649</v>
      </c>
      <c r="M64" s="12" t="s">
        <v>213</v>
      </c>
      <c r="N64" s="11" t="s">
        <v>42</v>
      </c>
      <c r="O64" s="25">
        <v>181841104</v>
      </c>
      <c r="P64" s="2">
        <v>100</v>
      </c>
      <c r="Q64" s="25">
        <v>181841104</v>
      </c>
      <c r="R64" s="25">
        <v>90920552</v>
      </c>
      <c r="S64" s="25">
        <v>90920552</v>
      </c>
      <c r="T64" s="25">
        <v>0</v>
      </c>
      <c r="U64" s="25">
        <v>0</v>
      </c>
      <c r="V64" s="25">
        <v>82737702</v>
      </c>
      <c r="W64" s="13">
        <v>0</v>
      </c>
      <c r="X64" s="13">
        <v>0</v>
      </c>
      <c r="Y64" s="13">
        <f t="shared" si="1"/>
        <v>0</v>
      </c>
      <c r="Z64" s="13"/>
      <c r="AA64" s="31"/>
      <c r="AB64" s="30"/>
    </row>
    <row r="65" spans="2:28">
      <c r="B65" s="11">
        <v>55</v>
      </c>
      <c r="C65" s="1" t="s">
        <v>418</v>
      </c>
      <c r="D65" s="1" t="s">
        <v>419</v>
      </c>
      <c r="E65" s="1" t="s">
        <v>420</v>
      </c>
      <c r="F65" s="29" t="s">
        <v>307</v>
      </c>
      <c r="G65" s="11">
        <v>2024</v>
      </c>
      <c r="H65" s="16">
        <v>45292</v>
      </c>
      <c r="I65" s="16">
        <v>45658</v>
      </c>
      <c r="J65" s="11" t="s">
        <v>308</v>
      </c>
      <c r="K65" s="12" t="s">
        <v>308</v>
      </c>
      <c r="L65" s="16">
        <v>45604</v>
      </c>
      <c r="M65" s="12" t="s">
        <v>213</v>
      </c>
      <c r="N65" s="11" t="s">
        <v>42</v>
      </c>
      <c r="O65" s="28">
        <v>400720927</v>
      </c>
      <c r="P65" s="2">
        <v>100</v>
      </c>
      <c r="Q65" s="25">
        <v>400720927</v>
      </c>
      <c r="R65" s="28">
        <v>200360463.5</v>
      </c>
      <c r="S65" s="28">
        <v>200360463</v>
      </c>
      <c r="T65" s="28">
        <v>0</v>
      </c>
      <c r="U65" s="25">
        <v>0.5</v>
      </c>
      <c r="V65" s="25">
        <v>182328022</v>
      </c>
      <c r="W65" s="18">
        <v>0</v>
      </c>
      <c r="X65" s="13">
        <v>4754525</v>
      </c>
      <c r="Y65" s="13">
        <f t="shared" si="1"/>
        <v>4326617.75</v>
      </c>
      <c r="Z65" s="13"/>
      <c r="AA65" s="31"/>
      <c r="AB65" s="30"/>
    </row>
    <row r="66" spans="2:28">
      <c r="B66" s="11">
        <v>56</v>
      </c>
      <c r="C66" s="1" t="s">
        <v>421</v>
      </c>
      <c r="D66" s="1" t="s">
        <v>422</v>
      </c>
      <c r="E66" s="1" t="s">
        <v>423</v>
      </c>
      <c r="F66" s="29" t="s">
        <v>307</v>
      </c>
      <c r="G66" s="11">
        <v>2024</v>
      </c>
      <c r="H66" s="16">
        <v>45349</v>
      </c>
      <c r="I66" s="16">
        <v>45715</v>
      </c>
      <c r="J66" s="11" t="s">
        <v>308</v>
      </c>
      <c r="K66" s="12" t="s">
        <v>308</v>
      </c>
      <c r="L66" s="16">
        <v>45597</v>
      </c>
      <c r="M66" s="12" t="s">
        <v>213</v>
      </c>
      <c r="N66" s="11" t="s">
        <v>42</v>
      </c>
      <c r="O66" s="25">
        <v>245340458</v>
      </c>
      <c r="P66" s="2">
        <v>100</v>
      </c>
      <c r="Q66" s="25">
        <v>245340458</v>
      </c>
      <c r="R66" s="25">
        <v>122670229</v>
      </c>
      <c r="S66" s="25">
        <v>122670229</v>
      </c>
      <c r="T66" s="25">
        <v>0</v>
      </c>
      <c r="U66" s="25">
        <v>0</v>
      </c>
      <c r="V66" s="25">
        <v>111629908</v>
      </c>
      <c r="W66" s="13">
        <v>0</v>
      </c>
      <c r="X66" s="13">
        <v>324659542</v>
      </c>
      <c r="Y66" s="13">
        <f t="shared" si="1"/>
        <v>295440183.22000003</v>
      </c>
      <c r="Z66" s="13"/>
      <c r="AA66" s="31"/>
      <c r="AB66" s="30"/>
    </row>
    <row r="67" spans="2:28">
      <c r="B67" s="11">
        <v>57</v>
      </c>
      <c r="C67" s="1" t="s">
        <v>424</v>
      </c>
      <c r="D67" s="1" t="s">
        <v>425</v>
      </c>
      <c r="E67" s="1" t="s">
        <v>426</v>
      </c>
      <c r="F67" s="29" t="s">
        <v>307</v>
      </c>
      <c r="G67" s="11">
        <v>2024</v>
      </c>
      <c r="H67" s="16">
        <v>45349</v>
      </c>
      <c r="I67" s="16">
        <v>45807</v>
      </c>
      <c r="J67" s="11" t="s">
        <v>308</v>
      </c>
      <c r="K67" s="12" t="s">
        <v>308</v>
      </c>
      <c r="L67" s="16">
        <v>45579</v>
      </c>
      <c r="M67" s="12" t="s">
        <v>213</v>
      </c>
      <c r="N67" s="11" t="s">
        <v>42</v>
      </c>
      <c r="O67" s="28">
        <v>435916686</v>
      </c>
      <c r="P67" s="2">
        <v>100</v>
      </c>
      <c r="Q67" s="25">
        <v>435916686</v>
      </c>
      <c r="R67" s="28">
        <v>217958343</v>
      </c>
      <c r="S67" s="28">
        <v>217958343</v>
      </c>
      <c r="T67" s="28">
        <v>0</v>
      </c>
      <c r="U67" s="25">
        <v>0</v>
      </c>
      <c r="V67" s="25">
        <v>198342092</v>
      </c>
      <c r="W67" s="18">
        <v>0</v>
      </c>
      <c r="X67" s="13">
        <v>0</v>
      </c>
      <c r="Y67" s="13">
        <f t="shared" si="1"/>
        <v>0</v>
      </c>
      <c r="Z67" s="13"/>
      <c r="AA67" s="31"/>
      <c r="AB67" s="30"/>
    </row>
    <row r="68" spans="2:28">
      <c r="B68" s="11">
        <v>58</v>
      </c>
      <c r="C68" s="1" t="s">
        <v>427</v>
      </c>
      <c r="D68" s="1" t="s">
        <v>428</v>
      </c>
      <c r="E68" s="1" t="s">
        <v>429</v>
      </c>
      <c r="F68" s="29" t="s">
        <v>307</v>
      </c>
      <c r="G68" s="11">
        <v>2024</v>
      </c>
      <c r="H68" s="16">
        <v>45360</v>
      </c>
      <c r="I68" s="16">
        <v>46455</v>
      </c>
      <c r="J68" s="11" t="s">
        <v>308</v>
      </c>
      <c r="K68" s="12" t="s">
        <v>308</v>
      </c>
      <c r="L68" s="16">
        <v>45471</v>
      </c>
      <c r="M68" s="12" t="s">
        <v>213</v>
      </c>
      <c r="N68" s="11" t="s">
        <v>42</v>
      </c>
      <c r="O68" s="25">
        <v>582875191</v>
      </c>
      <c r="P68" s="2">
        <v>100</v>
      </c>
      <c r="Q68" s="25">
        <v>582875191</v>
      </c>
      <c r="R68" s="25">
        <v>291437595.5</v>
      </c>
      <c r="S68" s="25">
        <v>291437596</v>
      </c>
      <c r="T68" s="25">
        <v>0</v>
      </c>
      <c r="U68" s="25">
        <v>-0.5</v>
      </c>
      <c r="V68" s="25">
        <v>265208212</v>
      </c>
      <c r="W68" s="13">
        <v>0</v>
      </c>
      <c r="X68" s="13">
        <v>0</v>
      </c>
      <c r="Y68" s="13">
        <f t="shared" si="1"/>
        <v>0</v>
      </c>
      <c r="Z68" s="13"/>
      <c r="AA68" s="31"/>
      <c r="AB68" s="30"/>
    </row>
    <row r="69" spans="2:28">
      <c r="B69" s="11">
        <v>59</v>
      </c>
      <c r="C69" s="1" t="s">
        <v>430</v>
      </c>
      <c r="D69" s="1" t="s">
        <v>431</v>
      </c>
      <c r="E69" s="1" t="s">
        <v>432</v>
      </c>
      <c r="F69" s="29" t="s">
        <v>307</v>
      </c>
      <c r="G69" s="11">
        <v>2024</v>
      </c>
      <c r="H69" s="16">
        <v>45377</v>
      </c>
      <c r="I69" s="16">
        <v>45742</v>
      </c>
      <c r="J69" s="11" t="s">
        <v>308</v>
      </c>
      <c r="K69" s="12" t="s">
        <v>308</v>
      </c>
      <c r="L69" s="16">
        <v>45613</v>
      </c>
      <c r="M69" s="12" t="s">
        <v>213</v>
      </c>
      <c r="N69" s="11" t="s">
        <v>42</v>
      </c>
      <c r="O69" s="28">
        <v>159352550</v>
      </c>
      <c r="P69" s="2">
        <v>100</v>
      </c>
      <c r="Q69" s="25">
        <v>159352550</v>
      </c>
      <c r="R69" s="28">
        <v>79676275</v>
      </c>
      <c r="S69" s="28">
        <v>79676276</v>
      </c>
      <c r="T69" s="28">
        <v>0</v>
      </c>
      <c r="U69" s="25">
        <v>-1</v>
      </c>
      <c r="V69" s="25">
        <v>72505410</v>
      </c>
      <c r="W69" s="18">
        <v>0</v>
      </c>
      <c r="X69" s="13">
        <v>0</v>
      </c>
      <c r="Y69" s="13">
        <f t="shared" si="1"/>
        <v>0</v>
      </c>
      <c r="Z69" s="13"/>
      <c r="AA69" s="31"/>
      <c r="AB69" s="30"/>
    </row>
    <row r="70" spans="2:28">
      <c r="B70" s="11">
        <v>60</v>
      </c>
      <c r="C70" s="1" t="s">
        <v>433</v>
      </c>
      <c r="D70" s="1" t="s">
        <v>434</v>
      </c>
      <c r="E70" s="1" t="s">
        <v>435</v>
      </c>
      <c r="F70" s="29" t="s">
        <v>307</v>
      </c>
      <c r="G70" s="11">
        <v>2024</v>
      </c>
      <c r="H70" s="16">
        <v>45622</v>
      </c>
      <c r="I70" s="16">
        <v>45987</v>
      </c>
      <c r="J70" s="11" t="s">
        <v>308</v>
      </c>
      <c r="K70" s="12" t="s">
        <v>308</v>
      </c>
      <c r="L70" s="16">
        <v>45704</v>
      </c>
      <c r="M70" s="12" t="s">
        <v>213</v>
      </c>
      <c r="N70" s="11" t="s">
        <v>42</v>
      </c>
      <c r="O70" s="25">
        <v>29614500</v>
      </c>
      <c r="P70" s="2">
        <v>100</v>
      </c>
      <c r="Q70" s="25">
        <v>29614500</v>
      </c>
      <c r="R70" s="25">
        <v>14807250</v>
      </c>
      <c r="S70" s="25">
        <v>14807251</v>
      </c>
      <c r="T70" s="25">
        <v>0</v>
      </c>
      <c r="U70" s="25">
        <v>-1</v>
      </c>
      <c r="V70" s="25">
        <v>13474598</v>
      </c>
      <c r="W70" s="13">
        <v>0</v>
      </c>
      <c r="X70" s="13">
        <v>0</v>
      </c>
      <c r="Y70" s="13">
        <f t="shared" si="1"/>
        <v>0</v>
      </c>
      <c r="Z70" s="13"/>
      <c r="AA70" s="31"/>
      <c r="AB70" s="30"/>
    </row>
    <row r="71" spans="2:28">
      <c r="B71" s="11">
        <v>61</v>
      </c>
      <c r="C71" s="1" t="s">
        <v>436</v>
      </c>
      <c r="D71" s="1" t="s">
        <v>437</v>
      </c>
      <c r="E71" s="1" t="s">
        <v>438</v>
      </c>
      <c r="F71" s="29" t="s">
        <v>307</v>
      </c>
      <c r="G71" s="11">
        <v>2024</v>
      </c>
      <c r="H71" s="16">
        <v>45443</v>
      </c>
      <c r="I71" s="16">
        <v>45622</v>
      </c>
      <c r="J71" s="11" t="s">
        <v>308</v>
      </c>
      <c r="K71" s="12" t="s">
        <v>308</v>
      </c>
      <c r="L71" s="16">
        <v>45610</v>
      </c>
      <c r="M71" s="12" t="s">
        <v>41</v>
      </c>
      <c r="N71" s="11" t="s">
        <v>42</v>
      </c>
      <c r="O71" s="25">
        <v>154560454.59999999</v>
      </c>
      <c r="P71" s="2">
        <v>20</v>
      </c>
      <c r="Q71" s="25">
        <v>30912090.920000002</v>
      </c>
      <c r="R71" s="25">
        <v>77280227.299999997</v>
      </c>
      <c r="S71" s="25">
        <v>77280228</v>
      </c>
      <c r="T71" s="25">
        <v>0</v>
      </c>
      <c r="U71" s="25">
        <v>-0.70000000298023224</v>
      </c>
      <c r="V71" s="25">
        <v>70325007</v>
      </c>
      <c r="W71" s="13">
        <v>0</v>
      </c>
      <c r="X71" s="13">
        <v>0</v>
      </c>
      <c r="Y71" s="13">
        <f t="shared" si="1"/>
        <v>0</v>
      </c>
      <c r="Z71" s="13"/>
      <c r="AA71" s="31"/>
      <c r="AB71" s="30"/>
    </row>
    <row r="72" spans="2:28">
      <c r="B72" s="11">
        <v>62</v>
      </c>
      <c r="C72" s="1" t="s">
        <v>439</v>
      </c>
      <c r="D72" s="1" t="s">
        <v>440</v>
      </c>
      <c r="E72" s="1" t="s">
        <v>441</v>
      </c>
      <c r="F72" s="29" t="s">
        <v>307</v>
      </c>
      <c r="G72" s="11">
        <v>2024</v>
      </c>
      <c r="H72" s="16">
        <v>45411</v>
      </c>
      <c r="I72" s="16">
        <v>45776</v>
      </c>
      <c r="J72" s="11" t="s">
        <v>308</v>
      </c>
      <c r="K72" s="12" t="s">
        <v>308</v>
      </c>
      <c r="L72" s="16">
        <v>45634</v>
      </c>
      <c r="M72" s="12" t="s">
        <v>41</v>
      </c>
      <c r="N72" s="11" t="s">
        <v>42</v>
      </c>
      <c r="O72" s="25">
        <v>45620036</v>
      </c>
      <c r="P72" s="2">
        <v>40</v>
      </c>
      <c r="Q72" s="25">
        <v>18248014.400000002</v>
      </c>
      <c r="R72" s="25">
        <v>22810018</v>
      </c>
      <c r="S72" s="25">
        <v>22810017</v>
      </c>
      <c r="T72" s="25">
        <v>0</v>
      </c>
      <c r="U72" s="25">
        <v>1</v>
      </c>
      <c r="V72" s="25">
        <v>20757116</v>
      </c>
      <c r="W72" s="13">
        <v>0</v>
      </c>
      <c r="X72" s="13">
        <v>57356488</v>
      </c>
      <c r="Y72" s="13">
        <f t="shared" si="1"/>
        <v>52194404.079999998</v>
      </c>
      <c r="Z72" s="13"/>
      <c r="AA72" s="31"/>
      <c r="AB72" s="30"/>
    </row>
    <row r="73" spans="2:28">
      <c r="B73" s="11">
        <v>63</v>
      </c>
      <c r="C73" s="1" t="s">
        <v>442</v>
      </c>
      <c r="D73" s="1" t="s">
        <v>443</v>
      </c>
      <c r="E73" s="1" t="s">
        <v>444</v>
      </c>
      <c r="F73" s="29" t="s">
        <v>307</v>
      </c>
      <c r="G73" s="11">
        <v>2024</v>
      </c>
      <c r="H73" s="16">
        <v>45560</v>
      </c>
      <c r="I73" s="16">
        <v>45925</v>
      </c>
      <c r="J73" s="11" t="s">
        <v>308</v>
      </c>
      <c r="K73" s="12" t="s">
        <v>308</v>
      </c>
      <c r="L73" s="16">
        <v>45711</v>
      </c>
      <c r="M73" s="12" t="s">
        <v>41</v>
      </c>
      <c r="N73" s="11" t="s">
        <v>42</v>
      </c>
      <c r="O73" s="25">
        <v>4034681.64</v>
      </c>
      <c r="P73" s="2">
        <v>10</v>
      </c>
      <c r="Q73" s="25">
        <v>403468.16400000005</v>
      </c>
      <c r="R73" s="25">
        <v>1775215.29287019</v>
      </c>
      <c r="S73" s="25">
        <v>153777</v>
      </c>
      <c r="T73" s="25">
        <v>0</v>
      </c>
      <c r="U73" s="25">
        <v>2105689.3471298101</v>
      </c>
      <c r="V73" s="25">
        <v>139936</v>
      </c>
      <c r="W73" s="13">
        <v>0</v>
      </c>
      <c r="X73" s="13">
        <v>0</v>
      </c>
      <c r="Y73" s="13">
        <f t="shared" si="1"/>
        <v>0</v>
      </c>
      <c r="Z73" s="13"/>
      <c r="AA73" s="31"/>
      <c r="AB73" s="30"/>
    </row>
    <row r="74" spans="2:28">
      <c r="B74" s="11">
        <v>64</v>
      </c>
      <c r="C74" s="1" t="s">
        <v>442</v>
      </c>
      <c r="D74" s="1" t="s">
        <v>443</v>
      </c>
      <c r="E74" s="1" t="s">
        <v>444</v>
      </c>
      <c r="F74" s="29" t="s">
        <v>307</v>
      </c>
      <c r="G74" s="11">
        <v>2024</v>
      </c>
      <c r="H74" s="16">
        <v>45560</v>
      </c>
      <c r="I74" s="16">
        <v>45925</v>
      </c>
      <c r="J74" s="11" t="s">
        <v>308</v>
      </c>
      <c r="K74" s="12" t="s">
        <v>308</v>
      </c>
      <c r="L74" s="16">
        <v>45711</v>
      </c>
      <c r="M74" s="12" t="s">
        <v>41</v>
      </c>
      <c r="N74" s="11" t="s">
        <v>42</v>
      </c>
      <c r="O74" s="25">
        <v>4034681.64</v>
      </c>
      <c r="P74" s="2">
        <v>10</v>
      </c>
      <c r="Q74" s="25">
        <v>403468.16400000005</v>
      </c>
      <c r="R74" s="25">
        <v>1775215.29287019</v>
      </c>
      <c r="S74" s="25">
        <v>0</v>
      </c>
      <c r="T74" s="25">
        <v>41947</v>
      </c>
      <c r="U74" s="25">
        <v>2217519.3471298101</v>
      </c>
      <c r="V74" s="25">
        <v>0</v>
      </c>
      <c r="W74" s="13">
        <v>38172</v>
      </c>
      <c r="X74" s="13">
        <v>0</v>
      </c>
      <c r="Y74" s="13">
        <f t="shared" si="1"/>
        <v>0</v>
      </c>
      <c r="Z74" s="13"/>
      <c r="AA74" s="31"/>
      <c r="AB74" s="30"/>
    </row>
    <row r="75" spans="2:28">
      <c r="B75" s="11">
        <v>65</v>
      </c>
      <c r="C75" s="1" t="s">
        <v>445</v>
      </c>
      <c r="D75" s="1" t="s">
        <v>443</v>
      </c>
      <c r="E75" s="1" t="s">
        <v>444</v>
      </c>
      <c r="F75" s="29" t="s">
        <v>307</v>
      </c>
      <c r="G75" s="11">
        <v>2024</v>
      </c>
      <c r="H75" s="16">
        <v>45560</v>
      </c>
      <c r="I75" s="16">
        <v>45925</v>
      </c>
      <c r="J75" s="11" t="s">
        <v>308</v>
      </c>
      <c r="K75" s="12" t="s">
        <v>308</v>
      </c>
      <c r="L75" s="16">
        <v>45713</v>
      </c>
      <c r="M75" s="12" t="s">
        <v>41</v>
      </c>
      <c r="N75" s="11" t="s">
        <v>42</v>
      </c>
      <c r="O75" s="28">
        <v>4034681.64</v>
      </c>
      <c r="P75" s="2">
        <v>10</v>
      </c>
      <c r="Q75" s="25">
        <v>403468.16400000005</v>
      </c>
      <c r="R75" s="28">
        <v>1775215.29287019</v>
      </c>
      <c r="S75" s="28">
        <v>153777</v>
      </c>
      <c r="T75" s="28">
        <v>0</v>
      </c>
      <c r="U75" s="25">
        <v>2105689.3471298101</v>
      </c>
      <c r="V75" s="25">
        <v>139936</v>
      </c>
      <c r="W75" s="18">
        <v>0</v>
      </c>
      <c r="X75" s="13">
        <v>0</v>
      </c>
      <c r="Y75" s="13">
        <f t="shared" si="1"/>
        <v>0</v>
      </c>
      <c r="Z75" s="13"/>
      <c r="AA75" s="31"/>
      <c r="AB75" s="30"/>
    </row>
    <row r="76" spans="2:28">
      <c r="B76" s="11">
        <v>66</v>
      </c>
      <c r="C76" s="1" t="s">
        <v>445</v>
      </c>
      <c r="D76" s="1" t="s">
        <v>443</v>
      </c>
      <c r="E76" s="1" t="s">
        <v>444</v>
      </c>
      <c r="F76" s="29" t="s">
        <v>307</v>
      </c>
      <c r="G76" s="11">
        <v>2024</v>
      </c>
      <c r="H76" s="16">
        <v>45560</v>
      </c>
      <c r="I76" s="16">
        <v>45925</v>
      </c>
      <c r="J76" s="11" t="s">
        <v>308</v>
      </c>
      <c r="K76" s="12" t="s">
        <v>308</v>
      </c>
      <c r="L76" s="16">
        <v>45713</v>
      </c>
      <c r="M76" s="12" t="s">
        <v>41</v>
      </c>
      <c r="N76" s="11" t="s">
        <v>42</v>
      </c>
      <c r="O76" s="28">
        <v>4034681.64</v>
      </c>
      <c r="P76" s="2">
        <v>10</v>
      </c>
      <c r="Q76" s="25">
        <v>403468.16400000005</v>
      </c>
      <c r="R76" s="28">
        <v>1775215.29287019</v>
      </c>
      <c r="S76" s="28">
        <v>0</v>
      </c>
      <c r="T76" s="28">
        <v>41947</v>
      </c>
      <c r="U76" s="25">
        <v>2217519.3471298101</v>
      </c>
      <c r="V76" s="25">
        <v>0</v>
      </c>
      <c r="W76" s="18">
        <v>38172</v>
      </c>
      <c r="X76" s="13">
        <v>0</v>
      </c>
      <c r="Y76" s="13">
        <f t="shared" si="1"/>
        <v>0</v>
      </c>
      <c r="Z76" s="13"/>
      <c r="AA76" s="31"/>
      <c r="AB76" s="30"/>
    </row>
    <row r="77" spans="2:28">
      <c r="B77" s="11">
        <v>67</v>
      </c>
      <c r="C77" s="1" t="s">
        <v>446</v>
      </c>
      <c r="D77" s="1" t="s">
        <v>443</v>
      </c>
      <c r="E77" s="1" t="s">
        <v>444</v>
      </c>
      <c r="F77" s="29" t="s">
        <v>307</v>
      </c>
      <c r="G77" s="11">
        <v>2024</v>
      </c>
      <c r="H77" s="16">
        <v>45560</v>
      </c>
      <c r="I77" s="16">
        <v>45925</v>
      </c>
      <c r="J77" s="11" t="s">
        <v>308</v>
      </c>
      <c r="K77" s="12" t="s">
        <v>308</v>
      </c>
      <c r="L77" s="16">
        <v>45712</v>
      </c>
      <c r="M77" s="12" t="s">
        <v>41</v>
      </c>
      <c r="N77" s="11" t="s">
        <v>42</v>
      </c>
      <c r="O77" s="25">
        <v>4034681.64</v>
      </c>
      <c r="P77" s="2">
        <v>10</v>
      </c>
      <c r="Q77" s="25">
        <v>403468.16400000005</v>
      </c>
      <c r="R77" s="25">
        <v>1775215.29287019</v>
      </c>
      <c r="S77" s="25">
        <v>153777</v>
      </c>
      <c r="T77" s="25">
        <v>0</v>
      </c>
      <c r="U77" s="25">
        <v>2105689.3471298101</v>
      </c>
      <c r="V77" s="25">
        <v>139936</v>
      </c>
      <c r="W77" s="13">
        <v>0</v>
      </c>
      <c r="X77" s="13">
        <v>0</v>
      </c>
      <c r="Y77" s="13">
        <f t="shared" si="1"/>
        <v>0</v>
      </c>
      <c r="Z77" s="13"/>
      <c r="AA77" s="31"/>
      <c r="AB77" s="30"/>
    </row>
    <row r="78" spans="2:28">
      <c r="B78" s="11">
        <v>68</v>
      </c>
      <c r="C78" s="1" t="s">
        <v>446</v>
      </c>
      <c r="D78" s="1" t="s">
        <v>443</v>
      </c>
      <c r="E78" s="1" t="s">
        <v>444</v>
      </c>
      <c r="F78" s="29" t="s">
        <v>307</v>
      </c>
      <c r="G78" s="11">
        <v>2024</v>
      </c>
      <c r="H78" s="16">
        <v>45560</v>
      </c>
      <c r="I78" s="16">
        <v>45925</v>
      </c>
      <c r="J78" s="11" t="s">
        <v>308</v>
      </c>
      <c r="K78" s="12" t="s">
        <v>308</v>
      </c>
      <c r="L78" s="16">
        <v>45712</v>
      </c>
      <c r="M78" s="12" t="s">
        <v>41</v>
      </c>
      <c r="N78" s="11" t="s">
        <v>42</v>
      </c>
      <c r="O78" s="28">
        <v>4034681.64</v>
      </c>
      <c r="P78" s="2">
        <v>10</v>
      </c>
      <c r="Q78" s="25">
        <v>403468.16400000005</v>
      </c>
      <c r="R78" s="28">
        <v>1775215.29287019</v>
      </c>
      <c r="S78" s="28">
        <v>0</v>
      </c>
      <c r="T78" s="28">
        <v>41947</v>
      </c>
      <c r="U78" s="25">
        <v>2217519.3471298101</v>
      </c>
      <c r="V78" s="25">
        <v>0</v>
      </c>
      <c r="W78" s="18">
        <v>38172</v>
      </c>
      <c r="X78" s="13">
        <v>0</v>
      </c>
      <c r="Y78" s="13">
        <f t="shared" si="1"/>
        <v>0</v>
      </c>
      <c r="Z78" s="13"/>
      <c r="AA78" s="31"/>
      <c r="AB78" s="30"/>
    </row>
    <row r="79" spans="2:28">
      <c r="B79" s="11">
        <v>69</v>
      </c>
      <c r="C79" s="1" t="s">
        <v>447</v>
      </c>
      <c r="D79" s="1" t="s">
        <v>443</v>
      </c>
      <c r="E79" s="1" t="s">
        <v>448</v>
      </c>
      <c r="F79" s="29" t="s">
        <v>307</v>
      </c>
      <c r="G79" s="11">
        <v>2024</v>
      </c>
      <c r="H79" s="16">
        <v>45560</v>
      </c>
      <c r="I79" s="16">
        <v>45925</v>
      </c>
      <c r="J79" s="11" t="s">
        <v>308</v>
      </c>
      <c r="K79" s="12" t="s">
        <v>308</v>
      </c>
      <c r="L79" s="16">
        <v>45711</v>
      </c>
      <c r="M79" s="12" t="s">
        <v>41</v>
      </c>
      <c r="N79" s="11" t="s">
        <v>42</v>
      </c>
      <c r="O79" s="25">
        <v>1538260.2</v>
      </c>
      <c r="P79" s="2">
        <v>10</v>
      </c>
      <c r="Q79" s="25">
        <v>153826.01999999999</v>
      </c>
      <c r="R79" s="25">
        <v>326709.87869503797</v>
      </c>
      <c r="S79" s="25">
        <v>326709</v>
      </c>
      <c r="T79" s="25">
        <v>0</v>
      </c>
      <c r="U79" s="25">
        <v>884841.32130496204</v>
      </c>
      <c r="V79" s="25">
        <v>297306</v>
      </c>
      <c r="W79" s="13">
        <v>0</v>
      </c>
      <c r="X79" s="13">
        <v>0</v>
      </c>
      <c r="Y79" s="13">
        <f t="shared" si="1"/>
        <v>0</v>
      </c>
      <c r="Z79" s="13"/>
      <c r="AA79" s="31"/>
      <c r="AB79" s="30"/>
    </row>
    <row r="80" spans="2:28">
      <c r="B80" s="11">
        <v>70</v>
      </c>
      <c r="C80" s="1" t="s">
        <v>447</v>
      </c>
      <c r="D80" s="1" t="s">
        <v>443</v>
      </c>
      <c r="E80" s="1" t="s">
        <v>448</v>
      </c>
      <c r="F80" s="29"/>
      <c r="G80" s="11">
        <v>2024</v>
      </c>
      <c r="H80" s="16">
        <v>45560</v>
      </c>
      <c r="I80" s="16">
        <v>45925</v>
      </c>
      <c r="J80" s="11" t="s">
        <v>308</v>
      </c>
      <c r="K80" s="12" t="s">
        <v>308</v>
      </c>
      <c r="L80" s="16">
        <v>45711</v>
      </c>
      <c r="M80" s="12" t="s">
        <v>41</v>
      </c>
      <c r="N80" s="11" t="s">
        <v>42</v>
      </c>
      <c r="O80" s="25">
        <v>1538260.2</v>
      </c>
      <c r="P80" s="2">
        <v>10</v>
      </c>
      <c r="Q80" s="25">
        <v>153826.01999999999</v>
      </c>
      <c r="R80" s="25">
        <v>326709.87869503797</v>
      </c>
      <c r="S80" s="25">
        <v>0</v>
      </c>
      <c r="T80" s="25">
        <v>884841</v>
      </c>
      <c r="U80" s="25">
        <v>326709.32130496204</v>
      </c>
      <c r="V80" s="25">
        <v>0</v>
      </c>
      <c r="W80" s="13">
        <v>805205</v>
      </c>
      <c r="X80" s="13">
        <v>0</v>
      </c>
      <c r="Y80" s="13">
        <f t="shared" si="1"/>
        <v>0</v>
      </c>
      <c r="Z80" s="13"/>
      <c r="AA80" s="31"/>
      <c r="AB80" s="30"/>
    </row>
    <row r="81" spans="2:28">
      <c r="B81" s="11">
        <v>71</v>
      </c>
      <c r="C81" s="1" t="s">
        <v>449</v>
      </c>
      <c r="D81" s="1" t="s">
        <v>443</v>
      </c>
      <c r="E81" s="1" t="s">
        <v>444</v>
      </c>
      <c r="F81" s="29"/>
      <c r="G81" s="11">
        <v>2024</v>
      </c>
      <c r="H81" s="16">
        <v>45560</v>
      </c>
      <c r="I81" s="16">
        <v>45925</v>
      </c>
      <c r="J81" s="11" t="s">
        <v>308</v>
      </c>
      <c r="K81" s="12" t="s">
        <v>308</v>
      </c>
      <c r="L81" s="16">
        <v>45714</v>
      </c>
      <c r="M81" s="12" t="s">
        <v>41</v>
      </c>
      <c r="N81" s="11" t="s">
        <v>42</v>
      </c>
      <c r="O81" s="25">
        <v>4034681.64</v>
      </c>
      <c r="P81" s="2">
        <v>10</v>
      </c>
      <c r="Q81" s="25">
        <v>403468.16400000005</v>
      </c>
      <c r="R81" s="25">
        <v>1775215.29287019</v>
      </c>
      <c r="S81" s="25">
        <v>153777</v>
      </c>
      <c r="T81" s="25">
        <v>0</v>
      </c>
      <c r="U81" s="25">
        <v>2105689.3471298101</v>
      </c>
      <c r="V81" s="25">
        <v>139936</v>
      </c>
      <c r="W81" s="13">
        <v>0</v>
      </c>
      <c r="X81" s="13">
        <v>0</v>
      </c>
      <c r="Y81" s="13">
        <f t="shared" si="1"/>
        <v>0</v>
      </c>
      <c r="Z81" s="13"/>
      <c r="AA81" s="31"/>
      <c r="AB81" s="30"/>
    </row>
    <row r="82" spans="2:28">
      <c r="B82" s="11">
        <v>72</v>
      </c>
      <c r="C82" s="1" t="s">
        <v>449</v>
      </c>
      <c r="D82" s="1" t="s">
        <v>443</v>
      </c>
      <c r="E82" s="1" t="s">
        <v>444</v>
      </c>
      <c r="F82" s="29"/>
      <c r="G82" s="11">
        <v>2024</v>
      </c>
      <c r="H82" s="16">
        <v>45560</v>
      </c>
      <c r="I82" s="16">
        <v>45925</v>
      </c>
      <c r="J82" s="11" t="s">
        <v>308</v>
      </c>
      <c r="K82" s="12" t="s">
        <v>308</v>
      </c>
      <c r="L82" s="16">
        <v>45714</v>
      </c>
      <c r="M82" s="12" t="s">
        <v>41</v>
      </c>
      <c r="N82" s="11" t="s">
        <v>42</v>
      </c>
      <c r="O82" s="25">
        <v>4034681.64</v>
      </c>
      <c r="P82" s="2">
        <v>10</v>
      </c>
      <c r="Q82" s="25">
        <v>403468.16400000005</v>
      </c>
      <c r="R82" s="25">
        <v>1775215.29287019</v>
      </c>
      <c r="S82" s="25">
        <v>0</v>
      </c>
      <c r="T82" s="25">
        <v>41947</v>
      </c>
      <c r="U82" s="25">
        <v>2217519.3471298101</v>
      </c>
      <c r="V82" s="25">
        <v>0</v>
      </c>
      <c r="W82" s="13">
        <v>38172</v>
      </c>
      <c r="X82" s="13">
        <v>0</v>
      </c>
      <c r="Y82" s="13">
        <f t="shared" si="1"/>
        <v>0</v>
      </c>
      <c r="Z82" s="13"/>
      <c r="AA82" s="31"/>
      <c r="AB82" s="30"/>
    </row>
    <row r="83" spans="2:28">
      <c r="B83" s="11">
        <v>73</v>
      </c>
      <c r="C83" s="1" t="s">
        <v>450</v>
      </c>
      <c r="D83" s="1" t="s">
        <v>443</v>
      </c>
      <c r="E83" s="1" t="s">
        <v>444</v>
      </c>
      <c r="F83" s="29"/>
      <c r="G83" s="11">
        <v>2024</v>
      </c>
      <c r="H83" s="16">
        <v>45560</v>
      </c>
      <c r="I83" s="16">
        <v>45925</v>
      </c>
      <c r="J83" s="11" t="s">
        <v>308</v>
      </c>
      <c r="K83" s="12" t="s">
        <v>308</v>
      </c>
      <c r="L83" s="16">
        <v>45715</v>
      </c>
      <c r="M83" s="12" t="s">
        <v>41</v>
      </c>
      <c r="N83" s="11" t="s">
        <v>42</v>
      </c>
      <c r="O83" s="25">
        <v>4034681.64</v>
      </c>
      <c r="P83" s="2">
        <v>10</v>
      </c>
      <c r="Q83" s="25">
        <v>403468.16400000005</v>
      </c>
      <c r="R83" s="25">
        <v>1775215.29287019</v>
      </c>
      <c r="S83" s="25">
        <v>70751</v>
      </c>
      <c r="T83" s="25">
        <v>0</v>
      </c>
      <c r="U83" s="25">
        <v>2188715.3471298101</v>
      </c>
      <c r="V83" s="25">
        <v>64383</v>
      </c>
      <c r="W83" s="13">
        <v>0</v>
      </c>
      <c r="X83" s="13">
        <v>0</v>
      </c>
      <c r="Y83" s="13">
        <f t="shared" si="1"/>
        <v>0</v>
      </c>
      <c r="Z83" s="13"/>
      <c r="AA83" s="31"/>
      <c r="AB83" s="30"/>
    </row>
    <row r="84" spans="2:28">
      <c r="B84" s="11">
        <v>74</v>
      </c>
      <c r="C84" s="1" t="s">
        <v>450</v>
      </c>
      <c r="D84" s="1" t="s">
        <v>443</v>
      </c>
      <c r="E84" s="1" t="s">
        <v>444</v>
      </c>
      <c r="F84" s="29"/>
      <c r="G84" s="11">
        <v>2024</v>
      </c>
      <c r="H84" s="16">
        <v>45560</v>
      </c>
      <c r="I84" s="16">
        <v>45925</v>
      </c>
      <c r="J84" s="11" t="s">
        <v>308</v>
      </c>
      <c r="K84" s="12" t="s">
        <v>308</v>
      </c>
      <c r="L84" s="16">
        <v>45715</v>
      </c>
      <c r="M84" s="12" t="s">
        <v>41</v>
      </c>
      <c r="N84" s="11" t="s">
        <v>42</v>
      </c>
      <c r="O84" s="25">
        <v>4034681.64</v>
      </c>
      <c r="P84" s="2">
        <v>10</v>
      </c>
      <c r="Q84" s="25">
        <v>403468.16400000005</v>
      </c>
      <c r="R84" s="25">
        <v>1775215.29287019</v>
      </c>
      <c r="S84" s="25">
        <v>0</v>
      </c>
      <c r="T84" s="25">
        <v>19300</v>
      </c>
      <c r="U84" s="25">
        <v>2240166.3471298101</v>
      </c>
      <c r="V84" s="25">
        <v>0</v>
      </c>
      <c r="W84" s="13">
        <v>17563</v>
      </c>
      <c r="X84" s="13">
        <v>0</v>
      </c>
      <c r="Y84" s="13">
        <f t="shared" si="1"/>
        <v>0</v>
      </c>
      <c r="Z84" s="13"/>
      <c r="AA84" s="31"/>
      <c r="AB84" s="30"/>
    </row>
    <row r="85" spans="2:28">
      <c r="B85" s="11">
        <v>75</v>
      </c>
      <c r="C85" s="1" t="s">
        <v>451</v>
      </c>
      <c r="D85" s="1" t="s">
        <v>443</v>
      </c>
      <c r="E85" s="1" t="s">
        <v>444</v>
      </c>
      <c r="F85" s="29"/>
      <c r="G85" s="11">
        <v>2024</v>
      </c>
      <c r="H85" s="16">
        <v>45560</v>
      </c>
      <c r="I85" s="16">
        <v>45925</v>
      </c>
      <c r="J85" s="11" t="s">
        <v>308</v>
      </c>
      <c r="K85" s="12" t="s">
        <v>308</v>
      </c>
      <c r="L85" s="16">
        <v>45755</v>
      </c>
      <c r="M85" s="12" t="s">
        <v>41</v>
      </c>
      <c r="N85" s="11" t="s">
        <v>42</v>
      </c>
      <c r="O85" s="25">
        <v>4034681.64</v>
      </c>
      <c r="P85" s="2">
        <v>10</v>
      </c>
      <c r="Q85" s="25">
        <v>403468.16400000005</v>
      </c>
      <c r="R85" s="25">
        <v>1775215.29287019</v>
      </c>
      <c r="S85" s="25">
        <v>1089360</v>
      </c>
      <c r="T85" s="25">
        <v>0</v>
      </c>
      <c r="U85" s="25">
        <v>1170106.3471298101</v>
      </c>
      <c r="V85" s="25">
        <v>991318</v>
      </c>
      <c r="W85" s="13">
        <v>0</v>
      </c>
      <c r="X85" s="13">
        <v>0</v>
      </c>
      <c r="Y85" s="13">
        <f t="shared" si="1"/>
        <v>0</v>
      </c>
      <c r="Z85" s="13"/>
      <c r="AA85" s="31"/>
      <c r="AB85" s="30"/>
    </row>
    <row r="86" spans="2:28">
      <c r="B86" s="11">
        <v>76</v>
      </c>
      <c r="C86" s="1" t="s">
        <v>451</v>
      </c>
      <c r="D86" s="1" t="s">
        <v>443</v>
      </c>
      <c r="E86" s="1" t="s">
        <v>444</v>
      </c>
      <c r="F86" s="29"/>
      <c r="G86" s="11">
        <v>2024</v>
      </c>
      <c r="H86" s="16">
        <v>45560</v>
      </c>
      <c r="I86" s="16">
        <v>45925</v>
      </c>
      <c r="J86" s="11" t="s">
        <v>308</v>
      </c>
      <c r="K86" s="12" t="s">
        <v>308</v>
      </c>
      <c r="L86" s="16">
        <v>45755</v>
      </c>
      <c r="M86" s="12" t="s">
        <v>41</v>
      </c>
      <c r="N86" s="11" t="s">
        <v>42</v>
      </c>
      <c r="O86" s="25">
        <v>4034681.64</v>
      </c>
      <c r="P86" s="2">
        <v>10</v>
      </c>
      <c r="Q86" s="25">
        <v>403468.16400000005</v>
      </c>
      <c r="R86" s="25">
        <v>1775215.29287019</v>
      </c>
      <c r="S86" s="25">
        <v>0</v>
      </c>
      <c r="T86" s="25">
        <v>297160</v>
      </c>
      <c r="U86" s="25">
        <v>1962306.3471298101</v>
      </c>
      <c r="V86" s="25">
        <v>0</v>
      </c>
      <c r="W86" s="13">
        <v>270416</v>
      </c>
      <c r="X86" s="13">
        <v>0</v>
      </c>
      <c r="Y86" s="13">
        <f t="shared" si="1"/>
        <v>0</v>
      </c>
      <c r="Z86" s="13"/>
      <c r="AA86" s="31"/>
      <c r="AB86" s="30"/>
    </row>
    <row r="87" spans="2:28">
      <c r="B87" s="11">
        <v>77</v>
      </c>
      <c r="C87" s="1" t="s">
        <v>452</v>
      </c>
      <c r="D87" s="1" t="s">
        <v>453</v>
      </c>
      <c r="E87" s="1" t="s">
        <v>454</v>
      </c>
      <c r="F87" s="29"/>
      <c r="G87" s="11">
        <v>2024</v>
      </c>
      <c r="H87" s="16">
        <v>45463</v>
      </c>
      <c r="I87" s="16">
        <v>46558</v>
      </c>
      <c r="J87" s="11" t="s">
        <v>308</v>
      </c>
      <c r="K87" s="12" t="s">
        <v>308</v>
      </c>
      <c r="L87" s="16">
        <v>45622</v>
      </c>
      <c r="M87" s="12" t="s">
        <v>41</v>
      </c>
      <c r="N87" s="11" t="s">
        <v>42</v>
      </c>
      <c r="O87" s="25">
        <v>14848824</v>
      </c>
      <c r="P87" s="2">
        <v>45</v>
      </c>
      <c r="Q87" s="25">
        <v>6681970.7999999998</v>
      </c>
      <c r="R87" s="25">
        <v>7424412</v>
      </c>
      <c r="S87" s="25">
        <v>7424412</v>
      </c>
      <c r="T87" s="25">
        <v>0</v>
      </c>
      <c r="U87" s="25">
        <v>0</v>
      </c>
      <c r="V87" s="25">
        <v>6756215</v>
      </c>
      <c r="W87" s="13">
        <v>0</v>
      </c>
      <c r="X87" s="13">
        <v>0</v>
      </c>
      <c r="Y87" s="13">
        <f t="shared" si="1"/>
        <v>0</v>
      </c>
      <c r="Z87" s="13"/>
      <c r="AA87" s="31"/>
      <c r="AB87" s="30"/>
    </row>
    <row r="88" spans="2:28">
      <c r="B88" s="11">
        <v>78</v>
      </c>
      <c r="C88" s="1" t="s">
        <v>455</v>
      </c>
      <c r="D88" s="1" t="s">
        <v>456</v>
      </c>
      <c r="E88" s="1" t="s">
        <v>457</v>
      </c>
      <c r="F88" s="29"/>
      <c r="G88" s="11">
        <v>2024</v>
      </c>
      <c r="H88" s="16">
        <v>45536</v>
      </c>
      <c r="I88" s="16">
        <v>45901</v>
      </c>
      <c r="J88" s="11">
        <v>2902</v>
      </c>
      <c r="K88" s="12" t="s">
        <v>458</v>
      </c>
      <c r="L88" s="16">
        <v>45649</v>
      </c>
      <c r="M88" s="12" t="s">
        <v>41</v>
      </c>
      <c r="N88" s="11" t="s">
        <v>42</v>
      </c>
      <c r="O88" s="25">
        <v>2754700</v>
      </c>
      <c r="P88" s="2">
        <v>5</v>
      </c>
      <c r="Q88" s="25">
        <v>137735</v>
      </c>
      <c r="R88" s="25">
        <v>1377350</v>
      </c>
      <c r="S88" s="25">
        <v>1149850</v>
      </c>
      <c r="T88" s="25">
        <v>0</v>
      </c>
      <c r="U88" s="25">
        <v>227500</v>
      </c>
      <c r="V88" s="25">
        <v>1046364</v>
      </c>
      <c r="W88" s="13">
        <v>0</v>
      </c>
      <c r="X88" s="13">
        <v>0</v>
      </c>
      <c r="Y88" s="13">
        <f t="shared" si="1"/>
        <v>0</v>
      </c>
      <c r="Z88" s="13"/>
      <c r="AA88" s="31"/>
      <c r="AB88" s="30"/>
    </row>
    <row r="89" spans="2:28">
      <c r="B89" s="11">
        <v>79</v>
      </c>
      <c r="C89" s="1" t="s">
        <v>459</v>
      </c>
      <c r="D89" s="1" t="s">
        <v>456</v>
      </c>
      <c r="E89" s="1" t="s">
        <v>457</v>
      </c>
      <c r="F89" s="29" t="s">
        <v>307</v>
      </c>
      <c r="G89" s="11">
        <v>2024</v>
      </c>
      <c r="H89" s="16">
        <v>45536</v>
      </c>
      <c r="I89" s="16">
        <v>45901</v>
      </c>
      <c r="J89" s="11">
        <v>2902</v>
      </c>
      <c r="K89" s="12" t="s">
        <v>458</v>
      </c>
      <c r="L89" s="16">
        <v>45635</v>
      </c>
      <c r="M89" s="12" t="s">
        <v>41</v>
      </c>
      <c r="N89" s="11" t="s">
        <v>42</v>
      </c>
      <c r="O89" s="25">
        <v>2754700</v>
      </c>
      <c r="P89" s="2">
        <v>5</v>
      </c>
      <c r="Q89" s="25">
        <v>137735</v>
      </c>
      <c r="R89" s="25">
        <v>1377350</v>
      </c>
      <c r="S89" s="25">
        <v>227500</v>
      </c>
      <c r="T89" s="25">
        <v>0</v>
      </c>
      <c r="U89" s="25">
        <v>1149850</v>
      </c>
      <c r="V89" s="25">
        <v>207025</v>
      </c>
      <c r="W89" s="13">
        <v>0</v>
      </c>
      <c r="X89" s="13">
        <v>1988650</v>
      </c>
      <c r="Y89" s="13">
        <f t="shared" si="1"/>
        <v>1809671.5</v>
      </c>
      <c r="Z89" s="13"/>
      <c r="AA89" s="31"/>
      <c r="AB89" s="30"/>
    </row>
    <row r="90" spans="2:28">
      <c r="B90" s="11">
        <v>80</v>
      </c>
      <c r="C90" s="1" t="s">
        <v>460</v>
      </c>
      <c r="D90" s="1" t="s">
        <v>461</v>
      </c>
      <c r="E90" s="1" t="s">
        <v>329</v>
      </c>
      <c r="F90" s="29" t="s">
        <v>307</v>
      </c>
      <c r="G90" s="11">
        <v>2024</v>
      </c>
      <c r="H90" s="16">
        <v>45606</v>
      </c>
      <c r="I90" s="16">
        <v>45971</v>
      </c>
      <c r="J90" s="11">
        <v>2028</v>
      </c>
      <c r="K90" s="12" t="s">
        <v>330</v>
      </c>
      <c r="L90" s="16">
        <v>45631</v>
      </c>
      <c r="M90" s="12" t="s">
        <v>41</v>
      </c>
      <c r="N90" s="11" t="s">
        <v>42</v>
      </c>
      <c r="O90" s="25">
        <v>19508496.800000001</v>
      </c>
      <c r="P90" s="2">
        <v>20</v>
      </c>
      <c r="Q90" s="25">
        <v>3901699.3600000003</v>
      </c>
      <c r="R90" s="25">
        <v>9754248.4000000004</v>
      </c>
      <c r="S90" s="25">
        <v>9754248</v>
      </c>
      <c r="T90" s="25">
        <v>0</v>
      </c>
      <c r="U90" s="25">
        <v>0.40000000037252903</v>
      </c>
      <c r="V90" s="25">
        <v>8876366</v>
      </c>
      <c r="W90" s="13">
        <v>0</v>
      </c>
      <c r="X90" s="13">
        <v>1711800</v>
      </c>
      <c r="Y90" s="13">
        <f t="shared" si="1"/>
        <v>1557738</v>
      </c>
      <c r="Z90" s="13"/>
      <c r="AA90" s="31"/>
      <c r="AB90" s="30"/>
    </row>
    <row r="91" spans="2:28">
      <c r="B91" s="11">
        <v>81</v>
      </c>
      <c r="C91" s="1" t="s">
        <v>462</v>
      </c>
      <c r="D91" s="1" t="s">
        <v>463</v>
      </c>
      <c r="E91" s="1" t="s">
        <v>464</v>
      </c>
      <c r="F91" s="29" t="s">
        <v>307</v>
      </c>
      <c r="G91" s="11">
        <v>2024</v>
      </c>
      <c r="H91" s="16">
        <v>45657</v>
      </c>
      <c r="I91" s="16">
        <v>46022</v>
      </c>
      <c r="J91" s="11">
        <v>2974</v>
      </c>
      <c r="K91" s="12" t="s">
        <v>465</v>
      </c>
      <c r="L91" s="16">
        <v>45702</v>
      </c>
      <c r="M91" s="12" t="s">
        <v>41</v>
      </c>
      <c r="N91" s="11" t="s">
        <v>42</v>
      </c>
      <c r="O91" s="25">
        <v>5927225</v>
      </c>
      <c r="P91" s="2">
        <v>10</v>
      </c>
      <c r="Q91" s="25">
        <v>592722.5</v>
      </c>
      <c r="R91" s="25">
        <v>2963612.5</v>
      </c>
      <c r="S91" s="25">
        <v>2963612</v>
      </c>
      <c r="T91" s="25">
        <v>0</v>
      </c>
      <c r="U91" s="25">
        <v>0.5</v>
      </c>
      <c r="V91" s="25">
        <v>2696887</v>
      </c>
      <c r="W91" s="13">
        <v>0</v>
      </c>
      <c r="X91" s="13">
        <v>0</v>
      </c>
      <c r="Y91" s="13">
        <f t="shared" si="1"/>
        <v>0</v>
      </c>
      <c r="Z91" s="13"/>
      <c r="AA91" s="31"/>
      <c r="AB91" s="30"/>
    </row>
    <row r="92" spans="2:28">
      <c r="B92" s="11">
        <v>82</v>
      </c>
      <c r="C92" s="1" t="s">
        <v>466</v>
      </c>
      <c r="D92" s="1" t="s">
        <v>467</v>
      </c>
      <c r="E92" s="1" t="s">
        <v>468</v>
      </c>
      <c r="F92" s="29" t="s">
        <v>307</v>
      </c>
      <c r="G92" s="11">
        <v>2024</v>
      </c>
      <c r="H92" s="16">
        <v>45327</v>
      </c>
      <c r="I92" s="16">
        <v>45693</v>
      </c>
      <c r="J92" s="11" t="s">
        <v>308</v>
      </c>
      <c r="K92" s="12" t="s">
        <v>308</v>
      </c>
      <c r="L92" s="16">
        <v>45635</v>
      </c>
      <c r="M92" s="12" t="s">
        <v>41</v>
      </c>
      <c r="N92" s="11" t="s">
        <v>42</v>
      </c>
      <c r="O92" s="28">
        <v>4000000</v>
      </c>
      <c r="P92" s="2">
        <v>20</v>
      </c>
      <c r="Q92" s="25">
        <v>800000</v>
      </c>
      <c r="R92" s="28">
        <v>2000000</v>
      </c>
      <c r="S92" s="28">
        <v>2000000</v>
      </c>
      <c r="T92" s="28">
        <v>0</v>
      </c>
      <c r="U92" s="25">
        <v>0</v>
      </c>
      <c r="V92" s="25">
        <v>1820000</v>
      </c>
      <c r="W92" s="18">
        <v>0</v>
      </c>
      <c r="X92" s="13">
        <v>0</v>
      </c>
      <c r="Y92" s="13">
        <f t="shared" si="1"/>
        <v>0</v>
      </c>
      <c r="Z92" s="13"/>
      <c r="AA92" s="31"/>
      <c r="AB92" s="30"/>
    </row>
    <row r="93" spans="2:28">
      <c r="B93" s="11">
        <v>83</v>
      </c>
      <c r="C93" s="1" t="s">
        <v>469</v>
      </c>
      <c r="D93" s="1" t="s">
        <v>470</v>
      </c>
      <c r="E93" s="1" t="s">
        <v>471</v>
      </c>
      <c r="F93" s="29" t="s">
        <v>307</v>
      </c>
      <c r="G93" s="11">
        <v>2024</v>
      </c>
      <c r="H93" s="16">
        <v>45337</v>
      </c>
      <c r="I93" s="16">
        <v>45703</v>
      </c>
      <c r="J93" s="11" t="s">
        <v>308</v>
      </c>
      <c r="K93" s="12" t="s">
        <v>308</v>
      </c>
      <c r="L93" s="16">
        <v>45490</v>
      </c>
      <c r="M93" s="12" t="s">
        <v>41</v>
      </c>
      <c r="N93" s="11" t="s">
        <v>42</v>
      </c>
      <c r="O93" s="25">
        <v>1851588000</v>
      </c>
      <c r="P93" s="2">
        <v>12.5</v>
      </c>
      <c r="Q93" s="25">
        <v>231448500</v>
      </c>
      <c r="R93" s="25">
        <v>925794000</v>
      </c>
      <c r="S93" s="25">
        <v>925794000</v>
      </c>
      <c r="T93" s="25">
        <v>0</v>
      </c>
      <c r="U93" s="25">
        <v>0</v>
      </c>
      <c r="V93" s="25">
        <v>842472540</v>
      </c>
      <c r="W93" s="13">
        <v>0</v>
      </c>
      <c r="X93" s="13">
        <v>0</v>
      </c>
      <c r="Y93" s="13">
        <f t="shared" si="1"/>
        <v>0</v>
      </c>
      <c r="Z93" s="13"/>
      <c r="AA93" s="31"/>
      <c r="AB93" s="30"/>
    </row>
    <row r="94" spans="2:28">
      <c r="B94" s="11">
        <v>84</v>
      </c>
      <c r="C94" s="1" t="s">
        <v>472</v>
      </c>
      <c r="D94" s="1" t="s">
        <v>473</v>
      </c>
      <c r="E94" s="1" t="s">
        <v>474</v>
      </c>
      <c r="F94" s="29" t="s">
        <v>307</v>
      </c>
      <c r="G94" s="11">
        <v>2024</v>
      </c>
      <c r="H94" s="16">
        <v>45408</v>
      </c>
      <c r="I94" s="16">
        <v>45773</v>
      </c>
      <c r="J94" s="11" t="s">
        <v>308</v>
      </c>
      <c r="K94" s="12" t="s">
        <v>308</v>
      </c>
      <c r="L94" s="16">
        <v>45482</v>
      </c>
      <c r="M94" s="12" t="s">
        <v>41</v>
      </c>
      <c r="N94" s="11" t="s">
        <v>42</v>
      </c>
      <c r="O94" s="25">
        <v>14016122</v>
      </c>
      <c r="P94" s="2">
        <v>20</v>
      </c>
      <c r="Q94" s="25">
        <v>2803224.4000000004</v>
      </c>
      <c r="R94" s="25">
        <v>7008061</v>
      </c>
      <c r="S94" s="25">
        <v>7008061</v>
      </c>
      <c r="T94" s="25">
        <v>0</v>
      </c>
      <c r="U94" s="25">
        <v>0</v>
      </c>
      <c r="V94" s="25">
        <v>6377336</v>
      </c>
      <c r="W94" s="13">
        <v>0</v>
      </c>
      <c r="X94" s="13">
        <v>0</v>
      </c>
      <c r="Y94" s="13">
        <f t="shared" si="1"/>
        <v>0</v>
      </c>
      <c r="Z94" s="13"/>
      <c r="AA94" s="31"/>
      <c r="AB94" s="30"/>
    </row>
    <row r="95" spans="2:28">
      <c r="B95" s="11">
        <v>85</v>
      </c>
      <c r="C95" s="1" t="s">
        <v>475</v>
      </c>
      <c r="D95" s="1" t="s">
        <v>476</v>
      </c>
      <c r="E95" s="1" t="s">
        <v>477</v>
      </c>
      <c r="F95" s="29" t="s">
        <v>307</v>
      </c>
      <c r="G95" s="11">
        <v>2024</v>
      </c>
      <c r="H95" s="16">
        <v>45410</v>
      </c>
      <c r="I95" s="16">
        <v>45775</v>
      </c>
      <c r="J95" s="11" t="s">
        <v>308</v>
      </c>
      <c r="K95" s="12" t="s">
        <v>308</v>
      </c>
      <c r="L95" s="16">
        <v>45511</v>
      </c>
      <c r="M95" s="12" t="s">
        <v>41</v>
      </c>
      <c r="N95" s="11" t="s">
        <v>42</v>
      </c>
      <c r="O95" s="25">
        <v>128495765</v>
      </c>
      <c r="P95" s="2">
        <v>12.5</v>
      </c>
      <c r="Q95" s="25">
        <v>16061970.625</v>
      </c>
      <c r="R95" s="25">
        <v>64247882.5</v>
      </c>
      <c r="S95" s="25">
        <v>64247883</v>
      </c>
      <c r="T95" s="25">
        <v>0</v>
      </c>
      <c r="U95" s="25">
        <v>-0.5</v>
      </c>
      <c r="V95" s="25">
        <v>58465573</v>
      </c>
      <c r="W95" s="13">
        <v>0</v>
      </c>
      <c r="X95" s="13">
        <v>0</v>
      </c>
      <c r="Y95" s="13">
        <f t="shared" si="1"/>
        <v>0</v>
      </c>
      <c r="Z95" s="13"/>
      <c r="AA95" s="31"/>
      <c r="AB95" s="30"/>
    </row>
    <row r="96" spans="2:28">
      <c r="B96" s="11">
        <v>86</v>
      </c>
      <c r="C96" s="1" t="s">
        <v>478</v>
      </c>
      <c r="D96" s="1" t="s">
        <v>479</v>
      </c>
      <c r="E96" s="1" t="s">
        <v>480</v>
      </c>
      <c r="F96" s="29" t="s">
        <v>307</v>
      </c>
      <c r="G96" s="11">
        <v>2024</v>
      </c>
      <c r="H96" s="16">
        <v>45618</v>
      </c>
      <c r="I96" s="16">
        <v>45983</v>
      </c>
      <c r="J96" s="11" t="s">
        <v>308</v>
      </c>
      <c r="K96" s="12" t="s">
        <v>308</v>
      </c>
      <c r="L96" s="16">
        <v>45661</v>
      </c>
      <c r="M96" s="12" t="s">
        <v>41</v>
      </c>
      <c r="N96" s="11" t="s">
        <v>42</v>
      </c>
      <c r="O96" s="25">
        <v>107183779.2</v>
      </c>
      <c r="P96" s="2">
        <v>40</v>
      </c>
      <c r="Q96" s="25">
        <v>42873511.680000007</v>
      </c>
      <c r="R96" s="25">
        <v>53591889.600000001</v>
      </c>
      <c r="S96" s="25">
        <v>53591890</v>
      </c>
      <c r="T96" s="25">
        <v>0</v>
      </c>
      <c r="U96" s="25">
        <v>-0.39999999850988388</v>
      </c>
      <c r="V96" s="25">
        <v>48768620</v>
      </c>
      <c r="W96" s="13">
        <v>0</v>
      </c>
      <c r="X96" s="13">
        <v>0</v>
      </c>
      <c r="Y96" s="13">
        <f t="shared" si="1"/>
        <v>0</v>
      </c>
      <c r="Z96" s="13"/>
      <c r="AA96" s="31"/>
      <c r="AB96" s="30"/>
    </row>
    <row r="97" spans="2:28">
      <c r="B97" s="11">
        <v>87</v>
      </c>
      <c r="C97" s="1" t="s">
        <v>481</v>
      </c>
      <c r="D97" s="1" t="s">
        <v>479</v>
      </c>
      <c r="E97" s="1" t="s">
        <v>480</v>
      </c>
      <c r="F97" s="29"/>
      <c r="G97" s="11">
        <v>2024</v>
      </c>
      <c r="H97" s="16">
        <v>45618</v>
      </c>
      <c r="I97" s="16">
        <v>45983</v>
      </c>
      <c r="J97" s="11" t="s">
        <v>308</v>
      </c>
      <c r="K97" s="12" t="s">
        <v>308</v>
      </c>
      <c r="L97" s="16">
        <v>45661</v>
      </c>
      <c r="M97" s="12" t="s">
        <v>41</v>
      </c>
      <c r="N97" s="11" t="s">
        <v>42</v>
      </c>
      <c r="O97" s="25">
        <v>155936995.19999999</v>
      </c>
      <c r="P97" s="2">
        <v>40</v>
      </c>
      <c r="Q97" s="25">
        <v>62374798.079999998</v>
      </c>
      <c r="R97" s="25">
        <v>77968497.599999994</v>
      </c>
      <c r="S97" s="25">
        <v>77968498</v>
      </c>
      <c r="T97" s="25">
        <v>0</v>
      </c>
      <c r="U97" s="25">
        <v>-0.40000000596046448</v>
      </c>
      <c r="V97" s="25">
        <v>70951333</v>
      </c>
      <c r="W97" s="13">
        <v>0</v>
      </c>
      <c r="X97" s="13">
        <v>0</v>
      </c>
      <c r="Y97" s="13">
        <f t="shared" si="1"/>
        <v>0</v>
      </c>
      <c r="Z97" s="13"/>
      <c r="AA97" s="31"/>
      <c r="AB97" s="30"/>
    </row>
    <row r="98" spans="2:28">
      <c r="B98" s="11">
        <v>88</v>
      </c>
      <c r="C98" s="1" t="s">
        <v>482</v>
      </c>
      <c r="D98" s="1" t="s">
        <v>483</v>
      </c>
      <c r="E98" s="1" t="s">
        <v>484</v>
      </c>
      <c r="F98" s="29" t="s">
        <v>307</v>
      </c>
      <c r="G98" s="11">
        <v>2024</v>
      </c>
      <c r="H98" s="16">
        <v>45313</v>
      </c>
      <c r="I98" s="16">
        <v>45679</v>
      </c>
      <c r="J98" s="11">
        <v>20</v>
      </c>
      <c r="K98" s="12" t="s">
        <v>485</v>
      </c>
      <c r="L98" s="16">
        <v>45413</v>
      </c>
      <c r="M98" s="12" t="s">
        <v>41</v>
      </c>
      <c r="N98" s="11" t="s">
        <v>42</v>
      </c>
      <c r="O98" s="25">
        <v>2806954</v>
      </c>
      <c r="P98" s="2">
        <v>20</v>
      </c>
      <c r="Q98" s="25">
        <v>561390.80000000005</v>
      </c>
      <c r="R98" s="25">
        <v>1403477</v>
      </c>
      <c r="S98" s="25">
        <v>1403478</v>
      </c>
      <c r="T98" s="25">
        <v>0</v>
      </c>
      <c r="U98" s="25">
        <v>-1</v>
      </c>
      <c r="V98" s="25">
        <v>1277164</v>
      </c>
      <c r="W98" s="13">
        <v>0</v>
      </c>
      <c r="X98" s="13">
        <v>0</v>
      </c>
      <c r="Y98" s="13">
        <f t="shared" si="1"/>
        <v>0</v>
      </c>
      <c r="Z98" s="13"/>
      <c r="AA98" s="31"/>
      <c r="AB98" s="30"/>
    </row>
    <row r="99" spans="2:28">
      <c r="F99"/>
    </row>
    <row r="100" spans="2:28">
      <c r="F100"/>
      <c r="V100" s="17">
        <f>SUBTOTAL(9,V11:V98)</f>
        <v>3314380996.3800001</v>
      </c>
      <c r="W100" s="17">
        <f>SUBTOTAL(9,W11:W98)</f>
        <v>386537292.01999998</v>
      </c>
      <c r="X100" s="19"/>
    </row>
    <row r="101" spans="2:28">
      <c r="F101"/>
      <c r="W101" s="19"/>
    </row>
    <row r="102" spans="2:28">
      <c r="F102"/>
    </row>
    <row r="103" spans="2:28">
      <c r="F103"/>
    </row>
    <row r="104" spans="2:28">
      <c r="F104"/>
      <c r="G104"/>
    </row>
    <row r="105" spans="2:28">
      <c r="F105"/>
      <c r="G105"/>
    </row>
    <row r="106" spans="2:28">
      <c r="F106"/>
      <c r="G106"/>
    </row>
    <row r="107" spans="2:28">
      <c r="F107"/>
      <c r="G107"/>
    </row>
    <row r="108" spans="2:28">
      <c r="F108"/>
      <c r="G108"/>
    </row>
    <row r="109" spans="2:28">
      <c r="F109"/>
      <c r="G109"/>
    </row>
    <row r="110" spans="2:28">
      <c r="F110"/>
      <c r="G110"/>
      <c r="L110"/>
      <c r="N110"/>
    </row>
    <row r="111" spans="2:28">
      <c r="F111"/>
      <c r="G111"/>
      <c r="L111"/>
      <c r="N111"/>
    </row>
    <row r="112" spans="2:28">
      <c r="F112"/>
      <c r="G112"/>
      <c r="L112"/>
      <c r="N112"/>
    </row>
    <row r="113" spans="6:14">
      <c r="F113"/>
      <c r="G113"/>
      <c r="L113"/>
      <c r="N113"/>
    </row>
    <row r="114" spans="6:14">
      <c r="F114"/>
      <c r="G114"/>
      <c r="L114"/>
      <c r="N114"/>
    </row>
    <row r="115" spans="6:14">
      <c r="F115"/>
      <c r="G115"/>
      <c r="L115"/>
      <c r="N115"/>
    </row>
    <row r="116" spans="6:14">
      <c r="F116"/>
      <c r="G116"/>
      <c r="L116"/>
      <c r="N116"/>
    </row>
    <row r="117" spans="6:14">
      <c r="F117"/>
      <c r="G117"/>
    </row>
    <row r="118" spans="6:14">
      <c r="F118"/>
      <c r="G118"/>
    </row>
    <row r="119" spans="6:14">
      <c r="F119"/>
      <c r="G119"/>
    </row>
    <row r="120" spans="6:14">
      <c r="F120"/>
      <c r="G120"/>
    </row>
    <row r="121" spans="6:14">
      <c r="F121"/>
      <c r="G121"/>
    </row>
    <row r="122" spans="6:14">
      <c r="F122"/>
      <c r="G122"/>
    </row>
    <row r="123" spans="6:14">
      <c r="F123"/>
      <c r="G123"/>
    </row>
    <row r="124" spans="6:14">
      <c r="F124"/>
      <c r="G124"/>
    </row>
    <row r="125" spans="6:14">
      <c r="F125"/>
      <c r="G125"/>
    </row>
    <row r="126" spans="6:14">
      <c r="F126"/>
      <c r="G126"/>
    </row>
    <row r="127" spans="6:14">
      <c r="F127"/>
      <c r="G127"/>
    </row>
    <row r="128" spans="6:14">
      <c r="F128"/>
      <c r="G128"/>
    </row>
    <row r="129" spans="6:7">
      <c r="F129"/>
      <c r="G129"/>
    </row>
    <row r="130" spans="6:7">
      <c r="F130"/>
      <c r="G130"/>
    </row>
    <row r="131" spans="6:7">
      <c r="F131"/>
      <c r="G131"/>
    </row>
    <row r="132" spans="6:7">
      <c r="F132"/>
      <c r="G132"/>
    </row>
    <row r="133" spans="6:7">
      <c r="F133"/>
      <c r="G133"/>
    </row>
    <row r="134" spans="6:7">
      <c r="F134"/>
      <c r="G134"/>
    </row>
    <row r="135" spans="6:7">
      <c r="F135"/>
      <c r="G135"/>
    </row>
    <row r="136" spans="6:7">
      <c r="F136"/>
      <c r="G136"/>
    </row>
    <row r="137" spans="6:7">
      <c r="F137"/>
      <c r="G137"/>
    </row>
    <row r="138" spans="6:7">
      <c r="F138"/>
      <c r="G138"/>
    </row>
    <row r="139" spans="6:7">
      <c r="F139"/>
      <c r="G139"/>
    </row>
    <row r="140" spans="6:7">
      <c r="F140"/>
      <c r="G140"/>
    </row>
    <row r="141" spans="6:7">
      <c r="F141"/>
      <c r="G141"/>
    </row>
    <row r="142" spans="6:7">
      <c r="F142"/>
      <c r="G142"/>
    </row>
    <row r="143" spans="6:7">
      <c r="F143"/>
      <c r="G143"/>
    </row>
    <row r="144" spans="6:7">
      <c r="F144"/>
      <c r="G144"/>
    </row>
    <row r="145" spans="6:7">
      <c r="F145"/>
      <c r="G145"/>
    </row>
    <row r="146" spans="6:7">
      <c r="F146"/>
      <c r="G146"/>
    </row>
    <row r="147" spans="6:7">
      <c r="F147"/>
      <c r="G147"/>
    </row>
    <row r="148" spans="6:7">
      <c r="F148"/>
      <c r="G148"/>
    </row>
    <row r="149" spans="6:7">
      <c r="F149"/>
      <c r="G149"/>
    </row>
    <row r="150" spans="6:7">
      <c r="F150"/>
      <c r="G150"/>
    </row>
    <row r="151" spans="6:7">
      <c r="F151"/>
      <c r="G151"/>
    </row>
    <row r="152" spans="6:7">
      <c r="F152"/>
      <c r="G152"/>
    </row>
    <row r="153" spans="6:7">
      <c r="F153"/>
      <c r="G153"/>
    </row>
    <row r="154" spans="6:7">
      <c r="F154"/>
      <c r="G154"/>
    </row>
    <row r="155" spans="6:7">
      <c r="F155"/>
      <c r="G155"/>
    </row>
    <row r="156" spans="6:7">
      <c r="F156"/>
      <c r="G156"/>
    </row>
    <row r="157" spans="6:7">
      <c r="F157"/>
      <c r="G157"/>
    </row>
    <row r="158" spans="6:7">
      <c r="F158"/>
      <c r="G158"/>
    </row>
    <row r="159" spans="6:7">
      <c r="F159"/>
      <c r="G159"/>
    </row>
    <row r="160" spans="6: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6:7">
      <c r="F273"/>
      <c r="G273"/>
    </row>
    <row r="274" spans="6:7">
      <c r="F274"/>
      <c r="G274"/>
    </row>
    <row r="275" spans="6:7">
      <c r="F275"/>
      <c r="G275"/>
    </row>
    <row r="276" spans="6:7">
      <c r="F276"/>
      <c r="G276"/>
    </row>
    <row r="277" spans="6:7">
      <c r="F277"/>
      <c r="G277"/>
    </row>
    <row r="278" spans="6:7">
      <c r="F278"/>
      <c r="G278"/>
    </row>
    <row r="279" spans="6:7">
      <c r="F279"/>
      <c r="G279"/>
    </row>
    <row r="280" spans="6:7">
      <c r="F280"/>
      <c r="G280"/>
    </row>
    <row r="281" spans="6:7">
      <c r="F281"/>
      <c r="G281"/>
    </row>
    <row r="282" spans="6:7">
      <c r="F282"/>
      <c r="G282"/>
    </row>
    <row r="283" spans="6:7">
      <c r="F283"/>
      <c r="G283"/>
    </row>
    <row r="284" spans="6:7">
      <c r="F284"/>
      <c r="G284"/>
    </row>
    <row r="285" spans="6:7">
      <c r="F285"/>
      <c r="G285"/>
    </row>
    <row r="286" spans="6:7">
      <c r="F286"/>
      <c r="G286"/>
    </row>
    <row r="287" spans="6:7">
      <c r="F287"/>
      <c r="G287"/>
    </row>
    <row r="288" spans="6:7">
      <c r="F288"/>
      <c r="G288"/>
    </row>
  </sheetData>
  <autoFilter ref="B10:Z98" xr:uid="{00000000-0001-0000-0100-000000000000}">
    <sortState xmlns:xlrd2="http://schemas.microsoft.com/office/spreadsheetml/2017/richdata2" ref="B12:Z98">
      <sortCondition ref="G10:G98"/>
    </sortState>
  </autoFilter>
  <mergeCells count="20">
    <mergeCell ref="Z9:Z10"/>
    <mergeCell ref="O9:O10"/>
    <mergeCell ref="P9:Q9"/>
    <mergeCell ref="R9:U9"/>
    <mergeCell ref="W9:W10"/>
    <mergeCell ref="X9:X10"/>
    <mergeCell ref="Y9:Y10"/>
    <mergeCell ref="V9:V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9176-C704-4D78-8751-1DF351FE1245}">
  <sheetPr>
    <tabColor rgb="FF00B050"/>
  </sheetPr>
  <dimension ref="B2:Z30"/>
  <sheetViews>
    <sheetView showGridLines="0" zoomScale="70" zoomScaleNormal="70" workbookViewId="0">
      <pane xSplit="7" ySplit="10" topLeftCell="H11" activePane="bottomRight" state="frozen"/>
      <selection pane="bottomRight" activeCell="D5" sqref="D5"/>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9.7109375" customWidth="1"/>
    <col min="20" max="20" width="17.7109375" bestFit="1" customWidth="1"/>
    <col min="21" max="21" width="18.85546875" bestFit="1" customWidth="1"/>
    <col min="22" max="22" width="17.7109375" bestFit="1" customWidth="1"/>
    <col min="23" max="23" width="23.28515625" bestFit="1" customWidth="1"/>
    <col min="24" max="24" width="19.85546875" customWidth="1"/>
    <col min="25" max="25" width="21" customWidth="1"/>
  </cols>
  <sheetData>
    <row r="2" spans="2:26" ht="18">
      <c r="B2" s="8" t="s">
        <v>0</v>
      </c>
    </row>
    <row r="3" spans="2:26">
      <c r="B3" s="7" t="s">
        <v>1</v>
      </c>
      <c r="D3" s="9" t="s">
        <v>2</v>
      </c>
      <c r="E3" s="6"/>
    </row>
    <row r="4" spans="2:26">
      <c r="B4" s="7" t="s">
        <v>3</v>
      </c>
      <c r="D4" s="10" t="s">
        <v>486</v>
      </c>
      <c r="E4" s="5"/>
    </row>
    <row r="5" spans="2:26">
      <c r="B5" s="7" t="s">
        <v>6</v>
      </c>
      <c r="D5" s="10" t="s">
        <v>7</v>
      </c>
      <c r="E5" s="5"/>
    </row>
    <row r="7" spans="2:26">
      <c r="W7" s="19"/>
    </row>
    <row r="8" spans="2:26">
      <c r="G8"/>
      <c r="H8"/>
      <c r="I8"/>
      <c r="J8"/>
      <c r="L8"/>
      <c r="N8"/>
    </row>
    <row r="9" spans="2:26"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487</v>
      </c>
      <c r="W9" s="37" t="s">
        <v>25</v>
      </c>
      <c r="X9" s="37" t="s">
        <v>26</v>
      </c>
      <c r="Y9" s="37" t="s">
        <v>27</v>
      </c>
    </row>
    <row r="10" spans="2:26"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row>
    <row r="11" spans="2:26" s="14" customFormat="1">
      <c r="B11" s="11">
        <v>1</v>
      </c>
      <c r="C11" s="12" t="s">
        <v>488</v>
      </c>
      <c r="D11" s="12" t="s">
        <v>489</v>
      </c>
      <c r="E11" s="12" t="s">
        <v>490</v>
      </c>
      <c r="F11" s="12" t="s">
        <v>491</v>
      </c>
      <c r="G11" s="11">
        <v>2024</v>
      </c>
      <c r="H11" s="16">
        <v>45596</v>
      </c>
      <c r="I11" s="16">
        <v>46326</v>
      </c>
      <c r="J11" s="11">
        <v>2971</v>
      </c>
      <c r="K11" s="12" t="s">
        <v>492</v>
      </c>
      <c r="L11" s="16">
        <v>45695</v>
      </c>
      <c r="M11" s="12" t="s">
        <v>213</v>
      </c>
      <c r="N11" s="11" t="s">
        <v>42</v>
      </c>
      <c r="O11" s="25">
        <v>1171500</v>
      </c>
      <c r="P11" s="2">
        <v>100</v>
      </c>
      <c r="Q11" s="25">
        <v>1171500</v>
      </c>
      <c r="R11" s="25">
        <v>702900</v>
      </c>
      <c r="S11" s="25">
        <v>0</v>
      </c>
      <c r="T11" s="25">
        <v>468600</v>
      </c>
      <c r="U11" s="25">
        <v>0</v>
      </c>
      <c r="V11" s="18">
        <v>426426</v>
      </c>
      <c r="W11" s="13">
        <v>0</v>
      </c>
      <c r="X11" s="13">
        <f>W11*91%</f>
        <v>0</v>
      </c>
      <c r="Y11" s="13"/>
      <c r="Z11" s="27"/>
    </row>
    <row r="12" spans="2:26" s="14" customFormat="1">
      <c r="B12" s="11">
        <v>2</v>
      </c>
      <c r="C12" s="12" t="s">
        <v>493</v>
      </c>
      <c r="D12" s="12" t="s">
        <v>494</v>
      </c>
      <c r="E12" s="12" t="s">
        <v>495</v>
      </c>
      <c r="F12" s="12" t="s">
        <v>491</v>
      </c>
      <c r="G12" s="11">
        <v>2024</v>
      </c>
      <c r="H12" s="16">
        <v>45575</v>
      </c>
      <c r="I12" s="16">
        <v>45940</v>
      </c>
      <c r="J12" s="11" t="s">
        <v>308</v>
      </c>
      <c r="K12" s="12" t="s">
        <v>308</v>
      </c>
      <c r="L12" s="16">
        <v>45707</v>
      </c>
      <c r="M12" s="12" t="s">
        <v>41</v>
      </c>
      <c r="N12" s="11" t="s">
        <v>42</v>
      </c>
      <c r="O12" s="25">
        <v>2430000</v>
      </c>
      <c r="P12" s="2">
        <v>30</v>
      </c>
      <c r="Q12" s="25">
        <v>729000</v>
      </c>
      <c r="R12" s="25">
        <v>324000</v>
      </c>
      <c r="S12" s="25">
        <v>0</v>
      </c>
      <c r="T12" s="25">
        <v>2106000</v>
      </c>
      <c r="U12" s="25">
        <v>0</v>
      </c>
      <c r="V12" s="18">
        <v>1916460</v>
      </c>
      <c r="W12" s="13">
        <v>0</v>
      </c>
      <c r="X12" s="13">
        <f>W12*91%</f>
        <v>0</v>
      </c>
      <c r="Y12" s="13"/>
      <c r="Z12" s="27"/>
    </row>
    <row r="14" spans="2:26">
      <c r="V14" s="17">
        <f>SUBTOTAL(9,V11:V12)</f>
        <v>2342886</v>
      </c>
      <c r="W14" s="19"/>
    </row>
    <row r="15" spans="2:26">
      <c r="V15" s="19"/>
    </row>
    <row r="24" spans="12:14">
      <c r="L24"/>
      <c r="N24"/>
    </row>
    <row r="25" spans="12:14">
      <c r="L25"/>
      <c r="N25"/>
    </row>
    <row r="26" spans="12:14">
      <c r="L26"/>
      <c r="N26"/>
    </row>
    <row r="27" spans="12:14">
      <c r="L27"/>
      <c r="N27"/>
    </row>
    <row r="28" spans="12:14">
      <c r="L28"/>
      <c r="N28"/>
    </row>
    <row r="29" spans="12:14">
      <c r="L29"/>
      <c r="N29"/>
    </row>
    <row r="30" spans="12:14">
      <c r="L30"/>
      <c r="N30"/>
    </row>
  </sheetData>
  <autoFilter ref="B10:Y12" xr:uid="{00000000-0001-0000-0100-000000000000}"/>
  <mergeCells count="19">
    <mergeCell ref="Y9:Y10"/>
    <mergeCell ref="O9:O10"/>
    <mergeCell ref="P9:Q9"/>
    <mergeCell ref="R9:U9"/>
    <mergeCell ref="V9:V10"/>
    <mergeCell ref="W9:W10"/>
    <mergeCell ref="X9:X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DCEAC-59ED-4E56-A7BA-6A9051D14FD2}">
  <sheetPr>
    <tabColor rgb="FF00B050"/>
  </sheetPr>
  <dimension ref="B2:AB44"/>
  <sheetViews>
    <sheetView showGridLines="0" zoomScale="70" zoomScaleNormal="70" workbookViewId="0">
      <pane xSplit="7" ySplit="10" topLeftCell="H11" activePane="bottomRight" state="frozen"/>
      <selection pane="bottomRight" activeCell="B11" sqref="B11:B26"/>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20" width="15.28515625" customWidth="1"/>
    <col min="21" max="21" width="18.85546875" customWidth="1"/>
    <col min="22" max="23" width="17.7109375" bestFit="1" customWidth="1"/>
    <col min="24" max="24" width="23.28515625" bestFit="1" customWidth="1"/>
    <col min="25" max="25" width="19.85546875" customWidth="1"/>
    <col min="26" max="26" width="21" customWidth="1"/>
    <col min="27" max="27" width="15.7109375" bestFit="1" customWidth="1"/>
  </cols>
  <sheetData>
    <row r="2" spans="2:28" ht="18">
      <c r="B2" s="8" t="s">
        <v>0</v>
      </c>
    </row>
    <row r="3" spans="2:28">
      <c r="B3" s="7" t="s">
        <v>1</v>
      </c>
      <c r="D3" s="9" t="s">
        <v>2</v>
      </c>
      <c r="E3" s="6"/>
    </row>
    <row r="4" spans="2:28">
      <c r="B4" s="7" t="s">
        <v>3</v>
      </c>
      <c r="D4" s="10" t="s">
        <v>496</v>
      </c>
      <c r="E4" s="5"/>
    </row>
    <row r="5" spans="2:28">
      <c r="B5" s="7" t="s">
        <v>6</v>
      </c>
      <c r="D5" s="10" t="s">
        <v>7</v>
      </c>
      <c r="E5" s="5"/>
    </row>
    <row r="7" spans="2:28">
      <c r="X7" s="19"/>
    </row>
    <row r="8" spans="2:28">
      <c r="G8"/>
      <c r="H8"/>
      <c r="I8"/>
      <c r="J8"/>
      <c r="L8"/>
      <c r="N8"/>
    </row>
    <row r="9" spans="2:28"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23</v>
      </c>
      <c r="W9" s="37" t="s">
        <v>24</v>
      </c>
      <c r="X9" s="37" t="s">
        <v>25</v>
      </c>
      <c r="Y9" s="37" t="s">
        <v>26</v>
      </c>
      <c r="Z9" s="37" t="s">
        <v>27</v>
      </c>
    </row>
    <row r="10" spans="2:28"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c r="Z10" s="37"/>
    </row>
    <row r="11" spans="2:28" s="14" customFormat="1">
      <c r="B11" s="11">
        <v>1</v>
      </c>
      <c r="C11" s="12" t="s">
        <v>497</v>
      </c>
      <c r="D11" s="12" t="s">
        <v>498</v>
      </c>
      <c r="E11" s="12" t="s">
        <v>499</v>
      </c>
      <c r="F11" s="12" t="s">
        <v>500</v>
      </c>
      <c r="G11" s="11">
        <v>2023</v>
      </c>
      <c r="H11" s="16">
        <v>44968</v>
      </c>
      <c r="I11" s="16">
        <v>44996</v>
      </c>
      <c r="J11" s="11" t="s">
        <v>308</v>
      </c>
      <c r="K11" s="12" t="s">
        <v>308</v>
      </c>
      <c r="L11" s="16">
        <v>44978</v>
      </c>
      <c r="M11" s="12" t="s">
        <v>213</v>
      </c>
      <c r="N11" s="11" t="s">
        <v>42</v>
      </c>
      <c r="O11" s="25">
        <v>85327000</v>
      </c>
      <c r="P11" s="2">
        <v>100</v>
      </c>
      <c r="Q11" s="25">
        <v>85327000</v>
      </c>
      <c r="R11" s="25">
        <v>57793201.058735803</v>
      </c>
      <c r="S11" s="25">
        <v>10198799</v>
      </c>
      <c r="T11" s="25">
        <v>0</v>
      </c>
      <c r="U11" s="25">
        <v>17334999.941264197</v>
      </c>
      <c r="V11" s="18">
        <v>7751088</v>
      </c>
      <c r="W11" s="18">
        <v>0</v>
      </c>
      <c r="X11" s="13">
        <v>2411896914</v>
      </c>
      <c r="Y11" s="13">
        <f>X11*76%</f>
        <v>1833041654.6400001</v>
      </c>
      <c r="Z11" s="13"/>
      <c r="AA11" s="31"/>
      <c r="AB11" s="30"/>
    </row>
    <row r="12" spans="2:28">
      <c r="B12" s="11">
        <v>2</v>
      </c>
      <c r="C12" s="1" t="s">
        <v>497</v>
      </c>
      <c r="D12" s="1" t="s">
        <v>498</v>
      </c>
      <c r="E12" s="1" t="s">
        <v>499</v>
      </c>
      <c r="F12" s="12" t="s">
        <v>500</v>
      </c>
      <c r="G12" s="11">
        <v>2023</v>
      </c>
      <c r="H12" s="16">
        <v>44968</v>
      </c>
      <c r="I12" s="16">
        <v>44996</v>
      </c>
      <c r="J12" s="11" t="s">
        <v>308</v>
      </c>
      <c r="K12" s="12" t="s">
        <v>308</v>
      </c>
      <c r="L12" s="16">
        <v>44978</v>
      </c>
      <c r="M12" s="12" t="s">
        <v>213</v>
      </c>
      <c r="N12" s="11" t="s">
        <v>42</v>
      </c>
      <c r="O12" s="25">
        <v>85327000</v>
      </c>
      <c r="P12" s="2">
        <v>100</v>
      </c>
      <c r="Q12" s="25">
        <v>85327000</v>
      </c>
      <c r="R12" s="25">
        <v>57793201.058735803</v>
      </c>
      <c r="S12" s="25">
        <v>0</v>
      </c>
      <c r="T12" s="25">
        <v>17334998</v>
      </c>
      <c r="U12" s="25">
        <v>10198800.941264197</v>
      </c>
      <c r="V12" s="13">
        <v>0</v>
      </c>
      <c r="W12" s="18">
        <v>13174598</v>
      </c>
      <c r="X12" s="13">
        <v>2411896914</v>
      </c>
      <c r="Y12" s="13">
        <f t="shared" ref="Y12:Y19" si="0">X12*76%</f>
        <v>1833041654.6400001</v>
      </c>
      <c r="Z12" s="26"/>
      <c r="AA12" s="31"/>
      <c r="AB12" s="30"/>
    </row>
    <row r="13" spans="2:28">
      <c r="B13" s="11">
        <v>3</v>
      </c>
      <c r="C13" s="1" t="s">
        <v>501</v>
      </c>
      <c r="D13" s="1" t="s">
        <v>502</v>
      </c>
      <c r="E13" s="1" t="s">
        <v>503</v>
      </c>
      <c r="F13" s="12" t="s">
        <v>500</v>
      </c>
      <c r="G13" s="11">
        <v>2023</v>
      </c>
      <c r="H13" s="16">
        <v>45063</v>
      </c>
      <c r="I13" s="16">
        <v>45122</v>
      </c>
      <c r="J13" s="11" t="s">
        <v>308</v>
      </c>
      <c r="K13" s="12" t="s">
        <v>308</v>
      </c>
      <c r="L13" s="16">
        <v>45076</v>
      </c>
      <c r="M13" s="12" t="s">
        <v>213</v>
      </c>
      <c r="N13" s="11" t="s">
        <v>42</v>
      </c>
      <c r="O13" s="25">
        <v>42682830</v>
      </c>
      <c r="P13" s="2">
        <v>100</v>
      </c>
      <c r="Q13" s="25">
        <v>42682830</v>
      </c>
      <c r="R13" s="25">
        <v>36280405.5</v>
      </c>
      <c r="S13" s="25">
        <v>6402424</v>
      </c>
      <c r="T13" s="25">
        <v>0</v>
      </c>
      <c r="U13" s="25">
        <v>0.5</v>
      </c>
      <c r="V13" s="13">
        <v>4865843</v>
      </c>
      <c r="W13" s="18">
        <v>0</v>
      </c>
      <c r="X13" s="13">
        <v>0</v>
      </c>
      <c r="Y13" s="13">
        <f t="shared" si="0"/>
        <v>0</v>
      </c>
      <c r="Z13" s="26"/>
      <c r="AA13" s="31"/>
      <c r="AB13" s="30"/>
    </row>
    <row r="14" spans="2:28">
      <c r="B14" s="11">
        <v>4</v>
      </c>
      <c r="C14" s="1" t="s">
        <v>504</v>
      </c>
      <c r="D14" s="1" t="s">
        <v>505</v>
      </c>
      <c r="E14" s="1" t="s">
        <v>506</v>
      </c>
      <c r="F14" s="12" t="s">
        <v>500</v>
      </c>
      <c r="G14" s="11">
        <v>2023</v>
      </c>
      <c r="H14" s="16">
        <v>45128</v>
      </c>
      <c r="I14" s="16">
        <v>45218</v>
      </c>
      <c r="J14" s="11" t="s">
        <v>308</v>
      </c>
      <c r="K14" s="12" t="s">
        <v>308</v>
      </c>
      <c r="L14" s="16">
        <v>45154</v>
      </c>
      <c r="M14" s="12" t="s">
        <v>41</v>
      </c>
      <c r="N14" s="11" t="s">
        <v>60</v>
      </c>
      <c r="O14" s="25">
        <v>-1259.8499999999999</v>
      </c>
      <c r="P14" s="2">
        <v>15</v>
      </c>
      <c r="Q14" s="25">
        <v>-188.97749999999999</v>
      </c>
      <c r="R14" s="25">
        <v>-571.13</v>
      </c>
      <c r="S14" s="25">
        <v>-100.8</v>
      </c>
      <c r="T14" s="25">
        <v>0</v>
      </c>
      <c r="U14" s="25">
        <v>-587.91999999999996</v>
      </c>
      <c r="V14" s="13">
        <v>-76.599999999999994</v>
      </c>
      <c r="W14" s="18">
        <v>0</v>
      </c>
      <c r="X14" s="13">
        <v>0</v>
      </c>
      <c r="Y14" s="13">
        <f t="shared" si="0"/>
        <v>0</v>
      </c>
      <c r="Z14" s="26"/>
      <c r="AA14" s="31"/>
      <c r="AB14" s="30"/>
    </row>
    <row r="15" spans="2:28">
      <c r="B15" s="11">
        <v>5</v>
      </c>
      <c r="C15" s="1" t="s">
        <v>507</v>
      </c>
      <c r="D15" s="1" t="s">
        <v>508</v>
      </c>
      <c r="E15" s="1" t="s">
        <v>509</v>
      </c>
      <c r="F15" s="12" t="s">
        <v>500</v>
      </c>
      <c r="G15" s="11">
        <v>2023</v>
      </c>
      <c r="H15" s="16">
        <v>45171</v>
      </c>
      <c r="I15" s="16">
        <v>45201</v>
      </c>
      <c r="J15" s="11" t="s">
        <v>308</v>
      </c>
      <c r="K15" s="12" t="s">
        <v>308</v>
      </c>
      <c r="L15" s="16">
        <v>45184</v>
      </c>
      <c r="M15" s="12" t="s">
        <v>41</v>
      </c>
      <c r="N15" s="11" t="s">
        <v>42</v>
      </c>
      <c r="O15" s="25">
        <v>80502644.989999995</v>
      </c>
      <c r="P15" s="2">
        <v>12.5</v>
      </c>
      <c r="Q15" s="25">
        <v>10062830.623749999</v>
      </c>
      <c r="R15" s="25">
        <v>68427248.241500005</v>
      </c>
      <c r="S15" s="25">
        <v>12075397</v>
      </c>
      <c r="T15" s="25">
        <v>0</v>
      </c>
      <c r="U15" s="25">
        <v>-0.25150001049041748</v>
      </c>
      <c r="V15" s="18">
        <v>9177302</v>
      </c>
      <c r="W15" s="18">
        <v>0</v>
      </c>
      <c r="X15" s="13">
        <v>0</v>
      </c>
      <c r="Y15" s="13">
        <f t="shared" si="0"/>
        <v>0</v>
      </c>
      <c r="Z15" s="26"/>
      <c r="AA15" s="31"/>
      <c r="AB15" s="30"/>
    </row>
    <row r="16" spans="2:28">
      <c r="B16" s="11">
        <v>6</v>
      </c>
      <c r="C16" s="1" t="s">
        <v>510</v>
      </c>
      <c r="D16" s="1" t="s">
        <v>511</v>
      </c>
      <c r="E16" s="1" t="s">
        <v>512</v>
      </c>
      <c r="F16" s="12" t="s">
        <v>500</v>
      </c>
      <c r="G16" s="11">
        <v>2023</v>
      </c>
      <c r="H16" s="16">
        <v>45171</v>
      </c>
      <c r="I16" s="16">
        <v>45201</v>
      </c>
      <c r="J16" s="11" t="s">
        <v>308</v>
      </c>
      <c r="K16" s="12" t="s">
        <v>308</v>
      </c>
      <c r="L16" s="16">
        <v>45184</v>
      </c>
      <c r="M16" s="12" t="s">
        <v>41</v>
      </c>
      <c r="N16" s="11" t="s">
        <v>42</v>
      </c>
      <c r="O16" s="25">
        <v>200558049.52500001</v>
      </c>
      <c r="P16" s="2">
        <v>12.5</v>
      </c>
      <c r="Q16" s="25">
        <v>25069756.190625001</v>
      </c>
      <c r="R16" s="25">
        <v>170474342.09625</v>
      </c>
      <c r="S16" s="25">
        <v>30083707</v>
      </c>
      <c r="T16" s="25">
        <v>0</v>
      </c>
      <c r="U16" s="25">
        <v>0.42875000834465027</v>
      </c>
      <c r="V16" s="13">
        <v>22863618</v>
      </c>
      <c r="W16" s="18">
        <v>0</v>
      </c>
      <c r="X16" s="13">
        <v>0</v>
      </c>
      <c r="Y16" s="13">
        <f t="shared" si="0"/>
        <v>0</v>
      </c>
      <c r="Z16" s="26"/>
      <c r="AA16" s="31"/>
      <c r="AB16" s="30"/>
    </row>
    <row r="17" spans="2:28">
      <c r="B17" s="11">
        <v>7</v>
      </c>
      <c r="C17" s="1" t="s">
        <v>513</v>
      </c>
      <c r="D17" s="1" t="s">
        <v>514</v>
      </c>
      <c r="E17" s="1" t="s">
        <v>515</v>
      </c>
      <c r="F17" s="12" t="s">
        <v>500</v>
      </c>
      <c r="G17" s="11">
        <v>2023</v>
      </c>
      <c r="H17" s="16">
        <v>45364</v>
      </c>
      <c r="I17" s="16">
        <v>45454</v>
      </c>
      <c r="J17" s="11" t="s">
        <v>308</v>
      </c>
      <c r="K17" s="12" t="s">
        <v>308</v>
      </c>
      <c r="L17" s="16">
        <v>45379</v>
      </c>
      <c r="M17" s="12" t="s">
        <v>41</v>
      </c>
      <c r="N17" s="11" t="s">
        <v>42</v>
      </c>
      <c r="O17" s="25">
        <v>414375</v>
      </c>
      <c r="P17" s="2">
        <v>12.5</v>
      </c>
      <c r="Q17" s="25">
        <v>51796.875</v>
      </c>
      <c r="R17" s="25">
        <v>352218.75</v>
      </c>
      <c r="S17" s="25">
        <v>62156</v>
      </c>
      <c r="T17" s="25">
        <v>0</v>
      </c>
      <c r="U17" s="25">
        <v>0.25</v>
      </c>
      <c r="V17" s="13">
        <v>47239</v>
      </c>
      <c r="W17" s="18">
        <v>0</v>
      </c>
      <c r="X17" s="13">
        <v>0</v>
      </c>
      <c r="Y17" s="13">
        <f t="shared" si="0"/>
        <v>0</v>
      </c>
      <c r="Z17" s="13"/>
      <c r="AA17" s="31"/>
      <c r="AB17" s="30"/>
    </row>
    <row r="18" spans="2:28">
      <c r="B18" s="11">
        <v>8</v>
      </c>
      <c r="C18" s="1" t="s">
        <v>516</v>
      </c>
      <c r="D18" s="1" t="s">
        <v>514</v>
      </c>
      <c r="E18" s="1" t="s">
        <v>515</v>
      </c>
      <c r="F18" s="12" t="s">
        <v>500</v>
      </c>
      <c r="G18" s="11">
        <v>2023</v>
      </c>
      <c r="H18" s="16">
        <v>45364</v>
      </c>
      <c r="I18" s="16">
        <v>45454</v>
      </c>
      <c r="J18" s="11" t="s">
        <v>308</v>
      </c>
      <c r="K18" s="12" t="s">
        <v>308</v>
      </c>
      <c r="L18" s="16">
        <v>45379</v>
      </c>
      <c r="M18" s="12" t="s">
        <v>41</v>
      </c>
      <c r="N18" s="11" t="s">
        <v>42</v>
      </c>
      <c r="O18" s="25">
        <v>545593.75</v>
      </c>
      <c r="P18" s="2">
        <v>12.5</v>
      </c>
      <c r="Q18" s="25">
        <v>68199.21875</v>
      </c>
      <c r="R18" s="25">
        <v>463754.6875</v>
      </c>
      <c r="S18" s="25">
        <v>81840</v>
      </c>
      <c r="T18" s="25">
        <v>0</v>
      </c>
      <c r="U18" s="25">
        <v>-0.9375</v>
      </c>
      <c r="V18" s="18">
        <v>62198</v>
      </c>
      <c r="W18" s="18">
        <v>0</v>
      </c>
      <c r="X18" s="13">
        <v>0</v>
      </c>
      <c r="Y18" s="13">
        <f t="shared" si="0"/>
        <v>0</v>
      </c>
      <c r="Z18" s="13"/>
      <c r="AA18" s="31"/>
      <c r="AB18" s="30"/>
    </row>
    <row r="19" spans="2:28">
      <c r="B19" s="11">
        <v>9</v>
      </c>
      <c r="C19" s="1" t="s">
        <v>517</v>
      </c>
      <c r="D19" s="1" t="s">
        <v>518</v>
      </c>
      <c r="E19" s="1" t="s">
        <v>519</v>
      </c>
      <c r="F19" s="12" t="s">
        <v>500</v>
      </c>
      <c r="G19" s="11">
        <v>2023</v>
      </c>
      <c r="H19" s="16">
        <v>45213</v>
      </c>
      <c r="I19" s="16">
        <v>45244</v>
      </c>
      <c r="J19" s="11" t="s">
        <v>308</v>
      </c>
      <c r="K19" s="12" t="s">
        <v>308</v>
      </c>
      <c r="L19" s="16">
        <v>45243</v>
      </c>
      <c r="M19" s="12" t="s">
        <v>41</v>
      </c>
      <c r="N19" s="11" t="s">
        <v>42</v>
      </c>
      <c r="O19" s="25">
        <v>-297187.5</v>
      </c>
      <c r="P19" s="2">
        <v>12.5</v>
      </c>
      <c r="Q19" s="25">
        <v>-37148.4375</v>
      </c>
      <c r="R19" s="25">
        <v>-252609.375</v>
      </c>
      <c r="S19" s="25">
        <v>-44579</v>
      </c>
      <c r="T19" s="25">
        <v>0</v>
      </c>
      <c r="U19" s="25">
        <v>0.875</v>
      </c>
      <c r="V19" s="18">
        <v>-33879</v>
      </c>
      <c r="W19" s="18">
        <v>0</v>
      </c>
      <c r="X19" s="13">
        <v>0</v>
      </c>
      <c r="Y19" s="13">
        <f t="shared" si="0"/>
        <v>0</v>
      </c>
      <c r="Z19" s="13"/>
      <c r="AA19" s="31"/>
      <c r="AB19" s="30"/>
    </row>
    <row r="20" spans="2:28">
      <c r="B20" s="11">
        <v>10</v>
      </c>
      <c r="C20" s="1" t="s">
        <v>520</v>
      </c>
      <c r="D20" s="1" t="s">
        <v>521</v>
      </c>
      <c r="E20" s="1" t="s">
        <v>522</v>
      </c>
      <c r="F20" s="12" t="s">
        <v>500</v>
      </c>
      <c r="G20" s="11">
        <v>2024</v>
      </c>
      <c r="H20" s="16">
        <v>45359</v>
      </c>
      <c r="I20" s="16">
        <v>45449</v>
      </c>
      <c r="J20" s="11" t="s">
        <v>308</v>
      </c>
      <c r="K20" s="12" t="s">
        <v>308</v>
      </c>
      <c r="L20" s="16">
        <v>45394</v>
      </c>
      <c r="M20" s="12" t="s">
        <v>41</v>
      </c>
      <c r="N20" s="11" t="s">
        <v>42</v>
      </c>
      <c r="O20" s="25">
        <v>25615319</v>
      </c>
      <c r="P20" s="2">
        <v>25</v>
      </c>
      <c r="Q20" s="25">
        <v>6403829.75</v>
      </c>
      <c r="R20" s="25">
        <v>21773021.149999999</v>
      </c>
      <c r="S20" s="25">
        <v>3842298</v>
      </c>
      <c r="T20" s="25">
        <v>0</v>
      </c>
      <c r="U20" s="25">
        <v>-0.14999999850988388</v>
      </c>
      <c r="V20" s="18">
        <v>3496491</v>
      </c>
      <c r="W20" s="18">
        <v>0</v>
      </c>
      <c r="X20" s="13">
        <v>0</v>
      </c>
      <c r="Y20" s="13">
        <f>X20*91%</f>
        <v>0</v>
      </c>
      <c r="Z20" s="13"/>
      <c r="AA20" s="31"/>
      <c r="AB20" s="30"/>
    </row>
    <row r="21" spans="2:28">
      <c r="B21" s="11">
        <v>11</v>
      </c>
      <c r="C21" s="1" t="s">
        <v>523</v>
      </c>
      <c r="D21" s="1" t="s">
        <v>524</v>
      </c>
      <c r="E21" s="1" t="s">
        <v>525</v>
      </c>
      <c r="F21" s="12" t="s">
        <v>500</v>
      </c>
      <c r="G21" s="11">
        <v>2024</v>
      </c>
      <c r="H21" s="16">
        <v>45626</v>
      </c>
      <c r="I21" s="16">
        <v>45991</v>
      </c>
      <c r="J21" s="11" t="s">
        <v>308</v>
      </c>
      <c r="K21" s="12" t="s">
        <v>308</v>
      </c>
      <c r="L21" s="16">
        <v>45716</v>
      </c>
      <c r="M21" s="12" t="s">
        <v>41</v>
      </c>
      <c r="N21" s="11" t="s">
        <v>42</v>
      </c>
      <c r="O21" s="25">
        <v>379522.3</v>
      </c>
      <c r="P21" s="2">
        <v>5</v>
      </c>
      <c r="Q21" s="25">
        <v>18976.115000000002</v>
      </c>
      <c r="R21" s="25">
        <v>322593.95500000002</v>
      </c>
      <c r="S21" s="25">
        <v>56929</v>
      </c>
      <c r="T21" s="25">
        <v>0</v>
      </c>
      <c r="U21" s="25">
        <v>-0.65500000002793968</v>
      </c>
      <c r="V21" s="13">
        <v>51805</v>
      </c>
      <c r="W21" s="18">
        <v>0</v>
      </c>
      <c r="X21" s="13">
        <v>0</v>
      </c>
      <c r="Y21" s="13">
        <f t="shared" ref="Y21:Y24" si="1">X21*91%</f>
        <v>0</v>
      </c>
      <c r="Z21" s="13"/>
      <c r="AA21" s="31"/>
      <c r="AB21" s="30"/>
    </row>
    <row r="22" spans="2:28">
      <c r="B22" s="11">
        <v>12</v>
      </c>
      <c r="C22" s="1" t="s">
        <v>526</v>
      </c>
      <c r="D22" s="1" t="s">
        <v>527</v>
      </c>
      <c r="E22" s="1" t="s">
        <v>528</v>
      </c>
      <c r="F22" s="12" t="s">
        <v>500</v>
      </c>
      <c r="G22" s="11">
        <v>2024</v>
      </c>
      <c r="H22" s="16">
        <v>45485</v>
      </c>
      <c r="I22" s="16">
        <v>45545</v>
      </c>
      <c r="J22" s="11" t="s">
        <v>308</v>
      </c>
      <c r="K22" s="12" t="s">
        <v>308</v>
      </c>
      <c r="L22" s="16">
        <v>45526</v>
      </c>
      <c r="M22" s="12" t="s">
        <v>41</v>
      </c>
      <c r="N22" s="11" t="s">
        <v>60</v>
      </c>
      <c r="O22" s="25">
        <v>420.31</v>
      </c>
      <c r="P22" s="2">
        <v>12.5</v>
      </c>
      <c r="Q22" s="25">
        <v>52.53875</v>
      </c>
      <c r="R22" s="25">
        <v>357.26</v>
      </c>
      <c r="S22" s="25">
        <v>63.04</v>
      </c>
      <c r="T22" s="25">
        <v>0</v>
      </c>
      <c r="U22" s="25">
        <v>1.0000000000012221E-2</v>
      </c>
      <c r="V22" s="18">
        <v>57.37</v>
      </c>
      <c r="W22" s="18">
        <v>0</v>
      </c>
      <c r="X22" s="13">
        <v>0</v>
      </c>
      <c r="Y22" s="13">
        <f t="shared" si="1"/>
        <v>0</v>
      </c>
      <c r="Z22" s="13"/>
      <c r="AA22" s="31"/>
      <c r="AB22" s="30"/>
    </row>
    <row r="23" spans="2:28">
      <c r="B23" s="11">
        <v>13</v>
      </c>
      <c r="C23" s="1" t="s">
        <v>529</v>
      </c>
      <c r="D23" s="1" t="s">
        <v>530</v>
      </c>
      <c r="E23" s="1" t="s">
        <v>531</v>
      </c>
      <c r="F23" s="12" t="s">
        <v>500</v>
      </c>
      <c r="G23" s="11">
        <v>2024</v>
      </c>
      <c r="H23" s="16">
        <v>45387</v>
      </c>
      <c r="I23" s="16">
        <v>45417</v>
      </c>
      <c r="J23" s="11" t="s">
        <v>308</v>
      </c>
      <c r="K23" s="12" t="s">
        <v>308</v>
      </c>
      <c r="L23" s="16">
        <v>45406</v>
      </c>
      <c r="M23" s="12" t="s">
        <v>41</v>
      </c>
      <c r="N23" s="11" t="s">
        <v>42</v>
      </c>
      <c r="O23" s="25">
        <v>2362092</v>
      </c>
      <c r="P23" s="2">
        <v>5</v>
      </c>
      <c r="Q23" s="25">
        <v>118104.6</v>
      </c>
      <c r="R23" s="25">
        <v>2007778.2</v>
      </c>
      <c r="S23" s="25">
        <v>354314</v>
      </c>
      <c r="T23" s="25">
        <v>0</v>
      </c>
      <c r="U23" s="25">
        <v>-0.19999999995343387</v>
      </c>
      <c r="V23" s="13">
        <v>322426</v>
      </c>
      <c r="W23" s="18">
        <v>0</v>
      </c>
      <c r="X23" s="13">
        <v>0</v>
      </c>
      <c r="Y23" s="13">
        <f t="shared" si="1"/>
        <v>0</v>
      </c>
      <c r="Z23" s="13"/>
      <c r="AA23" s="31"/>
      <c r="AB23" s="30"/>
    </row>
    <row r="24" spans="2:28">
      <c r="B24" s="11">
        <v>14</v>
      </c>
      <c r="C24" s="1" t="s">
        <v>532</v>
      </c>
      <c r="D24" s="1" t="s">
        <v>533</v>
      </c>
      <c r="E24" s="1" t="s">
        <v>534</v>
      </c>
      <c r="F24" s="12" t="s">
        <v>500</v>
      </c>
      <c r="G24" s="11">
        <v>2024</v>
      </c>
      <c r="H24" s="16">
        <v>45494</v>
      </c>
      <c r="I24" s="16">
        <v>45554</v>
      </c>
      <c r="J24" s="11" t="s">
        <v>308</v>
      </c>
      <c r="K24" s="12" t="s">
        <v>308</v>
      </c>
      <c r="L24" s="16">
        <v>45505</v>
      </c>
      <c r="M24" s="12" t="s">
        <v>41</v>
      </c>
      <c r="N24" s="11" t="s">
        <v>42</v>
      </c>
      <c r="O24" s="25">
        <v>411027538.80616498</v>
      </c>
      <c r="P24" s="2">
        <v>5</v>
      </c>
      <c r="Q24" s="25">
        <v>20551376.94030825</v>
      </c>
      <c r="R24" s="25">
        <v>349373407.98523998</v>
      </c>
      <c r="S24" s="25">
        <v>61654132</v>
      </c>
      <c r="T24" s="25">
        <v>0</v>
      </c>
      <c r="U24" s="25">
        <v>-1.1790750026702881</v>
      </c>
      <c r="V24" s="13">
        <v>56105259</v>
      </c>
      <c r="W24" s="18">
        <v>0</v>
      </c>
      <c r="X24" s="13">
        <v>0</v>
      </c>
      <c r="Y24" s="13">
        <f t="shared" si="1"/>
        <v>0</v>
      </c>
      <c r="Z24" s="12"/>
      <c r="AA24" s="31"/>
      <c r="AB24" s="30"/>
    </row>
    <row r="25" spans="2:28">
      <c r="B25" s="11">
        <v>15</v>
      </c>
      <c r="C25" s="1" t="s">
        <v>535</v>
      </c>
      <c r="D25" s="1" t="s">
        <v>536</v>
      </c>
      <c r="E25" s="1" t="s">
        <v>537</v>
      </c>
      <c r="F25" s="12" t="s">
        <v>500</v>
      </c>
      <c r="G25" s="11">
        <v>2025</v>
      </c>
      <c r="H25" s="16">
        <v>45702</v>
      </c>
      <c r="I25" s="16">
        <v>45732</v>
      </c>
      <c r="J25" s="11" t="s">
        <v>308</v>
      </c>
      <c r="K25" s="12" t="s">
        <v>308</v>
      </c>
      <c r="L25" s="16">
        <v>45702</v>
      </c>
      <c r="M25" s="12" t="s">
        <v>213</v>
      </c>
      <c r="N25" s="11" t="s">
        <v>42</v>
      </c>
      <c r="O25" s="25">
        <v>629314.59</v>
      </c>
      <c r="P25" s="2">
        <v>100</v>
      </c>
      <c r="Q25" s="25">
        <v>629314.59</v>
      </c>
      <c r="R25" s="25">
        <v>334323.37593749998</v>
      </c>
      <c r="S25" s="25">
        <v>58998</v>
      </c>
      <c r="T25" s="25">
        <v>0</v>
      </c>
      <c r="U25" s="25">
        <v>235993.21406249999</v>
      </c>
      <c r="V25" s="13">
        <v>57228</v>
      </c>
      <c r="W25" s="18">
        <v>0</v>
      </c>
      <c r="X25" s="13">
        <v>0</v>
      </c>
      <c r="Y25" s="13">
        <f>X25*97%</f>
        <v>0</v>
      </c>
      <c r="Z25" s="13"/>
      <c r="AA25" s="31"/>
      <c r="AB25" s="30"/>
    </row>
    <row r="26" spans="2:28">
      <c r="B26" s="11">
        <v>16</v>
      </c>
      <c r="C26" s="1" t="s">
        <v>538</v>
      </c>
      <c r="D26" s="1" t="s">
        <v>536</v>
      </c>
      <c r="E26" s="1" t="s">
        <v>537</v>
      </c>
      <c r="F26" s="12" t="s">
        <v>500</v>
      </c>
      <c r="G26" s="11">
        <v>2025</v>
      </c>
      <c r="H26" s="16">
        <v>45715</v>
      </c>
      <c r="I26" s="16">
        <v>45745</v>
      </c>
      <c r="J26" s="11" t="s">
        <v>308</v>
      </c>
      <c r="K26" s="12" t="s">
        <v>308</v>
      </c>
      <c r="L26" s="16">
        <v>45715</v>
      </c>
      <c r="M26" s="12" t="s">
        <v>213</v>
      </c>
      <c r="N26" s="11" t="s">
        <v>42</v>
      </c>
      <c r="O26" s="25">
        <v>1018935.41</v>
      </c>
      <c r="P26" s="2">
        <v>100</v>
      </c>
      <c r="Q26" s="25">
        <v>1018935.41</v>
      </c>
      <c r="R26" s="25">
        <v>541309.43656249996</v>
      </c>
      <c r="S26" s="25">
        <v>95525</v>
      </c>
      <c r="T26" s="25">
        <v>0</v>
      </c>
      <c r="U26" s="25">
        <v>382100.97343750007</v>
      </c>
      <c r="V26" s="13">
        <v>92659</v>
      </c>
      <c r="W26" s="18">
        <v>0</v>
      </c>
      <c r="X26" s="13">
        <v>0</v>
      </c>
      <c r="Y26" s="13">
        <f>X26*97%</f>
        <v>0</v>
      </c>
      <c r="Z26" s="13"/>
      <c r="AA26" s="31"/>
      <c r="AB26" s="30"/>
    </row>
    <row r="27" spans="2:28">
      <c r="B27" s="20"/>
      <c r="F27" s="14"/>
      <c r="O27" s="21"/>
      <c r="Q27" s="22"/>
      <c r="R27" s="22"/>
      <c r="S27" s="22"/>
      <c r="T27" s="22"/>
      <c r="U27" s="23"/>
      <c r="V27" s="24"/>
      <c r="W27" s="24"/>
    </row>
    <row r="28" spans="2:28">
      <c r="V28" s="17">
        <f>SUBTOTAL(9,V11:V26)</f>
        <v>104859257.77</v>
      </c>
      <c r="W28" s="17">
        <f>SUBTOTAL(9,W11:W26)</f>
        <v>13174598</v>
      </c>
      <c r="X28" s="19"/>
    </row>
    <row r="29" spans="2:28">
      <c r="V29" s="19"/>
      <c r="W29" s="19"/>
    </row>
    <row r="38" spans="12:14">
      <c r="L38"/>
      <c r="N38"/>
    </row>
    <row r="39" spans="12:14">
      <c r="L39"/>
      <c r="N39"/>
    </row>
    <row r="40" spans="12:14">
      <c r="L40"/>
      <c r="N40"/>
    </row>
    <row r="41" spans="12:14">
      <c r="L41"/>
      <c r="N41"/>
    </row>
    <row r="42" spans="12:14">
      <c r="L42"/>
      <c r="N42"/>
    </row>
    <row r="43" spans="12:14">
      <c r="L43"/>
      <c r="N43"/>
    </row>
    <row r="44" spans="12:14">
      <c r="L44"/>
      <c r="N44"/>
    </row>
  </sheetData>
  <autoFilter ref="B10:Z26" xr:uid="{00000000-0001-0000-0100-000000000000}"/>
  <mergeCells count="20">
    <mergeCell ref="Z9:Z10"/>
    <mergeCell ref="O9:O10"/>
    <mergeCell ref="P9:Q9"/>
    <mergeCell ref="R9:U9"/>
    <mergeCell ref="V9:V10"/>
    <mergeCell ref="X9:X10"/>
    <mergeCell ref="Y9:Y10"/>
    <mergeCell ref="W9:W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8FF1E-FFEA-4872-BEC7-F2C479494E87}">
  <sheetPr>
    <tabColor rgb="FF00B050"/>
  </sheetPr>
  <dimension ref="B2:AA33"/>
  <sheetViews>
    <sheetView showGridLines="0" zoomScale="70" zoomScaleNormal="70" workbookViewId="0">
      <pane xSplit="7" ySplit="10" topLeftCell="H11" activePane="bottomRight" state="frozen"/>
      <selection pane="bottomRight" activeCell="B11" sqref="B11:B15"/>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9.7109375" customWidth="1"/>
    <col min="20" max="20" width="17.7109375" bestFit="1" customWidth="1"/>
    <col min="21" max="21" width="18.85546875" bestFit="1" customWidth="1"/>
    <col min="22" max="22" width="18.85546875" customWidth="1"/>
    <col min="23" max="23" width="17.7109375" bestFit="1" customWidth="1"/>
    <col min="24" max="24" width="23.28515625" bestFit="1" customWidth="1"/>
    <col min="25" max="25" width="19.85546875" customWidth="1"/>
    <col min="26" max="26" width="21" customWidth="1"/>
  </cols>
  <sheetData>
    <row r="2" spans="2:27" ht="18">
      <c r="B2" s="8" t="s">
        <v>0</v>
      </c>
    </row>
    <row r="3" spans="2:27">
      <c r="B3" s="7" t="s">
        <v>1</v>
      </c>
      <c r="D3" s="9" t="s">
        <v>2</v>
      </c>
      <c r="E3" s="6"/>
    </row>
    <row r="4" spans="2:27">
      <c r="B4" s="7" t="s">
        <v>3</v>
      </c>
      <c r="D4" s="10" t="s">
        <v>539</v>
      </c>
      <c r="E4" s="5"/>
    </row>
    <row r="5" spans="2:27">
      <c r="B5" s="7" t="s">
        <v>6</v>
      </c>
      <c r="D5" s="10" t="s">
        <v>7</v>
      </c>
      <c r="E5" s="5"/>
    </row>
    <row r="7" spans="2:27">
      <c r="X7" s="19"/>
    </row>
    <row r="8" spans="2:27">
      <c r="G8"/>
      <c r="H8"/>
      <c r="I8"/>
      <c r="J8"/>
      <c r="L8"/>
      <c r="N8"/>
    </row>
    <row r="9" spans="2:27"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23</v>
      </c>
      <c r="W9" s="37" t="s">
        <v>24</v>
      </c>
      <c r="X9" s="37" t="s">
        <v>25</v>
      </c>
      <c r="Y9" s="37" t="s">
        <v>26</v>
      </c>
      <c r="Z9" s="37" t="s">
        <v>27</v>
      </c>
    </row>
    <row r="10" spans="2:27"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c r="Z10" s="37"/>
    </row>
    <row r="11" spans="2:27" s="14" customFormat="1">
      <c r="B11" s="11">
        <v>1</v>
      </c>
      <c r="C11" s="12" t="s">
        <v>540</v>
      </c>
      <c r="D11" s="12" t="s">
        <v>541</v>
      </c>
      <c r="E11" s="12" t="s">
        <v>542</v>
      </c>
      <c r="F11" s="12" t="s">
        <v>543</v>
      </c>
      <c r="G11" s="11">
        <v>2024</v>
      </c>
      <c r="H11" s="16">
        <v>45560</v>
      </c>
      <c r="I11" s="16">
        <v>45925</v>
      </c>
      <c r="J11" s="11" t="s">
        <v>308</v>
      </c>
      <c r="K11" s="12" t="s">
        <v>308</v>
      </c>
      <c r="L11" s="16">
        <v>45760</v>
      </c>
      <c r="M11" s="12" t="s">
        <v>41</v>
      </c>
      <c r="N11" s="11" t="s">
        <v>42</v>
      </c>
      <c r="O11" s="25">
        <v>108000</v>
      </c>
      <c r="P11" s="2">
        <v>10</v>
      </c>
      <c r="Q11" s="25">
        <v>10800</v>
      </c>
      <c r="R11" s="25">
        <v>64800</v>
      </c>
      <c r="S11" s="25">
        <v>6750</v>
      </c>
      <c r="T11" s="25">
        <v>0</v>
      </c>
      <c r="U11" s="25">
        <v>36450</v>
      </c>
      <c r="V11" s="25">
        <v>6142</v>
      </c>
      <c r="W11" s="18">
        <v>0</v>
      </c>
      <c r="X11" s="13">
        <v>0</v>
      </c>
      <c r="Y11" s="13">
        <f>X11*91%</f>
        <v>0</v>
      </c>
      <c r="Z11" s="13"/>
      <c r="AA11" s="27"/>
    </row>
    <row r="12" spans="2:27" s="14" customFormat="1">
      <c r="B12" s="11">
        <v>2</v>
      </c>
      <c r="C12" s="12" t="s">
        <v>540</v>
      </c>
      <c r="D12" s="12" t="s">
        <v>541</v>
      </c>
      <c r="E12" s="12" t="s">
        <v>542</v>
      </c>
      <c r="F12" s="12" t="s">
        <v>543</v>
      </c>
      <c r="G12" s="11">
        <v>2024</v>
      </c>
      <c r="H12" s="16">
        <v>45560</v>
      </c>
      <c r="I12" s="16">
        <v>45925</v>
      </c>
      <c r="J12" s="11" t="s">
        <v>308</v>
      </c>
      <c r="K12" s="12" t="s">
        <v>308</v>
      </c>
      <c r="L12" s="16">
        <v>45760</v>
      </c>
      <c r="M12" s="12" t="s">
        <v>41</v>
      </c>
      <c r="N12" s="11" t="s">
        <v>42</v>
      </c>
      <c r="O12" s="25">
        <v>108000</v>
      </c>
      <c r="P12" s="2">
        <v>10</v>
      </c>
      <c r="Q12" s="25">
        <v>10800</v>
      </c>
      <c r="R12" s="25">
        <v>64800</v>
      </c>
      <c r="S12" s="25">
        <v>0</v>
      </c>
      <c r="T12" s="25">
        <v>11250</v>
      </c>
      <c r="U12" s="25">
        <v>31950</v>
      </c>
      <c r="V12" s="25">
        <v>0</v>
      </c>
      <c r="W12" s="18">
        <v>10238</v>
      </c>
      <c r="X12" s="13">
        <v>0</v>
      </c>
      <c r="Y12" s="13">
        <f t="shared" ref="Y12:Y15" si="0">X12*91%</f>
        <v>0</v>
      </c>
      <c r="Z12" s="13"/>
      <c r="AA12" s="27"/>
    </row>
    <row r="13" spans="2:27" s="14" customFormat="1">
      <c r="B13" s="11">
        <v>3</v>
      </c>
      <c r="C13" s="12" t="s">
        <v>544</v>
      </c>
      <c r="D13" s="12" t="s">
        <v>541</v>
      </c>
      <c r="E13" s="12" t="s">
        <v>542</v>
      </c>
      <c r="F13" s="12" t="s">
        <v>543</v>
      </c>
      <c r="G13" s="11">
        <v>2024</v>
      </c>
      <c r="H13" s="16">
        <v>45560</v>
      </c>
      <c r="I13" s="16">
        <v>45925</v>
      </c>
      <c r="J13" s="11" t="s">
        <v>308</v>
      </c>
      <c r="K13" s="12" t="s">
        <v>308</v>
      </c>
      <c r="L13" s="16">
        <v>45746</v>
      </c>
      <c r="M13" s="12" t="s">
        <v>41</v>
      </c>
      <c r="N13" s="11" t="s">
        <v>42</v>
      </c>
      <c r="O13" s="25">
        <v>108000</v>
      </c>
      <c r="P13" s="2">
        <v>10</v>
      </c>
      <c r="Q13" s="25">
        <v>10800</v>
      </c>
      <c r="R13" s="25">
        <v>64800</v>
      </c>
      <c r="S13" s="25">
        <v>9450</v>
      </c>
      <c r="T13" s="25">
        <v>0</v>
      </c>
      <c r="U13" s="25">
        <v>33750</v>
      </c>
      <c r="V13" s="25">
        <v>8600</v>
      </c>
      <c r="W13" s="18">
        <v>0</v>
      </c>
      <c r="X13" s="13">
        <v>0</v>
      </c>
      <c r="Y13" s="13">
        <f t="shared" si="0"/>
        <v>0</v>
      </c>
      <c r="Z13" s="13"/>
      <c r="AA13" s="27"/>
    </row>
    <row r="14" spans="2:27" s="14" customFormat="1">
      <c r="B14" s="11">
        <v>4</v>
      </c>
      <c r="C14" s="12" t="s">
        <v>544</v>
      </c>
      <c r="D14" s="12" t="s">
        <v>541</v>
      </c>
      <c r="E14" s="12" t="s">
        <v>542</v>
      </c>
      <c r="F14" s="12" t="s">
        <v>543</v>
      </c>
      <c r="G14" s="11">
        <v>2024</v>
      </c>
      <c r="H14" s="16">
        <v>45560</v>
      </c>
      <c r="I14" s="16">
        <v>45925</v>
      </c>
      <c r="J14" s="11" t="s">
        <v>308</v>
      </c>
      <c r="K14" s="12" t="s">
        <v>308</v>
      </c>
      <c r="L14" s="16">
        <v>45746</v>
      </c>
      <c r="M14" s="12" t="s">
        <v>41</v>
      </c>
      <c r="N14" s="11" t="s">
        <v>42</v>
      </c>
      <c r="O14" s="25">
        <v>108000</v>
      </c>
      <c r="P14" s="2">
        <v>10</v>
      </c>
      <c r="Q14" s="25">
        <v>10800</v>
      </c>
      <c r="R14" s="25">
        <v>64800</v>
      </c>
      <c r="S14" s="25">
        <v>0</v>
      </c>
      <c r="T14" s="25">
        <v>15750</v>
      </c>
      <c r="U14" s="25">
        <v>27450</v>
      </c>
      <c r="V14" s="25">
        <v>0</v>
      </c>
      <c r="W14" s="18">
        <v>14332</v>
      </c>
      <c r="X14" s="13">
        <v>0</v>
      </c>
      <c r="Y14" s="13">
        <f t="shared" si="0"/>
        <v>0</v>
      </c>
      <c r="Z14" s="13"/>
      <c r="AA14" s="27"/>
    </row>
    <row r="15" spans="2:27" s="14" customFormat="1">
      <c r="B15" s="11">
        <v>5</v>
      </c>
      <c r="C15" s="12" t="s">
        <v>545</v>
      </c>
      <c r="D15" s="12" t="s">
        <v>546</v>
      </c>
      <c r="E15" s="12" t="s">
        <v>547</v>
      </c>
      <c r="F15" s="12" t="s">
        <v>543</v>
      </c>
      <c r="G15" s="11">
        <v>2024</v>
      </c>
      <c r="H15" s="16">
        <v>45626</v>
      </c>
      <c r="I15" s="16">
        <v>45991</v>
      </c>
      <c r="J15" s="11" t="s">
        <v>308</v>
      </c>
      <c r="K15" s="12" t="s">
        <v>308</v>
      </c>
      <c r="L15" s="16">
        <v>45634</v>
      </c>
      <c r="M15" s="12" t="s">
        <v>41</v>
      </c>
      <c r="N15" s="11" t="s">
        <v>42</v>
      </c>
      <c r="O15" s="25">
        <v>2181915</v>
      </c>
      <c r="P15" s="2">
        <v>5</v>
      </c>
      <c r="Q15" s="25">
        <v>109095.75</v>
      </c>
      <c r="R15" s="25">
        <v>1745532</v>
      </c>
      <c r="S15" s="25">
        <v>436384</v>
      </c>
      <c r="T15" s="25">
        <v>0</v>
      </c>
      <c r="U15" s="25">
        <v>-1</v>
      </c>
      <c r="V15" s="25">
        <v>397109</v>
      </c>
      <c r="W15" s="18">
        <v>0</v>
      </c>
      <c r="X15" s="13">
        <v>0</v>
      </c>
      <c r="Y15" s="13">
        <f t="shared" si="0"/>
        <v>0</v>
      </c>
      <c r="Z15" s="13"/>
      <c r="AA15" s="27"/>
    </row>
    <row r="17" spans="12:24">
      <c r="V17" s="17">
        <f>SUBTOTAL(9,V11:V15)</f>
        <v>411851</v>
      </c>
      <c r="W17" s="17">
        <f>SUBTOTAL(9,W11:W15)</f>
        <v>24570</v>
      </c>
      <c r="X17" s="19"/>
    </row>
    <row r="18" spans="12:24">
      <c r="W18" s="19"/>
    </row>
    <row r="27" spans="12:24">
      <c r="L27"/>
      <c r="N27"/>
    </row>
    <row r="28" spans="12:24">
      <c r="L28"/>
      <c r="N28"/>
    </row>
    <row r="29" spans="12:24">
      <c r="L29"/>
      <c r="N29"/>
    </row>
    <row r="30" spans="12:24">
      <c r="L30"/>
      <c r="N30"/>
    </row>
    <row r="31" spans="12:24">
      <c r="L31"/>
      <c r="N31"/>
    </row>
    <row r="32" spans="12:24">
      <c r="L32"/>
      <c r="N32"/>
    </row>
    <row r="33" spans="12:14">
      <c r="L33"/>
      <c r="N33"/>
    </row>
  </sheetData>
  <autoFilter ref="B10:Z11" xr:uid="{00000000-0001-0000-0100-000000000000}"/>
  <mergeCells count="20">
    <mergeCell ref="Z9:Z10"/>
    <mergeCell ref="O9:O10"/>
    <mergeCell ref="P9:Q9"/>
    <mergeCell ref="R9:U9"/>
    <mergeCell ref="W9:W10"/>
    <mergeCell ref="X9:X10"/>
    <mergeCell ref="Y9:Y10"/>
    <mergeCell ref="V9:V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37F4-A62C-45BC-B62D-589DDF582F74}">
  <sheetPr>
    <tabColor rgb="FF00B050"/>
  </sheetPr>
  <dimension ref="B2:AA287"/>
  <sheetViews>
    <sheetView showGridLines="0" zoomScale="70" zoomScaleNormal="70" zoomScaleSheetLayoutView="70" workbookViewId="0">
      <pane xSplit="7" ySplit="10" topLeftCell="H58" activePane="bottomRight" state="frozen"/>
      <selection pane="bottomRight" activeCell="D9" sqref="D9:D10"/>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7.7109375" customWidth="1"/>
    <col min="19" max="19" width="9.7109375" customWidth="1"/>
    <col min="20" max="20" width="17.7109375" customWidth="1"/>
    <col min="21" max="21" width="18.85546875" customWidth="1"/>
    <col min="22" max="22" width="17.7109375" bestFit="1" customWidth="1"/>
    <col min="23" max="23" width="23.28515625" bestFit="1" customWidth="1"/>
    <col min="24" max="24" width="19.85546875" customWidth="1"/>
    <col min="25" max="25" width="21" customWidth="1"/>
    <col min="26" max="26" width="18.85546875" bestFit="1" customWidth="1"/>
    <col min="27" max="27" width="6" customWidth="1"/>
  </cols>
  <sheetData>
    <row r="2" spans="2:27" ht="18">
      <c r="B2" s="8" t="s">
        <v>0</v>
      </c>
    </row>
    <row r="3" spans="2:27">
      <c r="B3" s="7" t="s">
        <v>1</v>
      </c>
      <c r="D3" s="9" t="s">
        <v>2</v>
      </c>
      <c r="E3" s="6"/>
    </row>
    <row r="4" spans="2:27">
      <c r="B4" s="7" t="s">
        <v>3</v>
      </c>
      <c r="D4" s="10" t="s">
        <v>548</v>
      </c>
      <c r="E4" s="5"/>
    </row>
    <row r="5" spans="2:27">
      <c r="B5" s="7" t="s">
        <v>6</v>
      </c>
      <c r="D5" s="10" t="s">
        <v>7</v>
      </c>
      <c r="E5" s="5"/>
    </row>
    <row r="7" spans="2:27">
      <c r="W7" s="19"/>
    </row>
    <row r="8" spans="2:27">
      <c r="G8"/>
      <c r="H8"/>
      <c r="I8"/>
      <c r="J8"/>
      <c r="L8"/>
      <c r="N8"/>
      <c r="T8" s="19"/>
    </row>
    <row r="9" spans="2:27"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549</v>
      </c>
      <c r="W9" s="37" t="s">
        <v>25</v>
      </c>
      <c r="X9" s="37" t="s">
        <v>550</v>
      </c>
      <c r="Y9" s="37" t="s">
        <v>27</v>
      </c>
    </row>
    <row r="10" spans="2:27"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row>
    <row r="11" spans="2:27">
      <c r="B11" s="11">
        <v>1</v>
      </c>
      <c r="C11" s="1" t="s">
        <v>36</v>
      </c>
      <c r="D11" s="1" t="s">
        <v>37</v>
      </c>
      <c r="E11" s="1" t="s">
        <v>38</v>
      </c>
      <c r="F11" s="29" t="s">
        <v>39</v>
      </c>
      <c r="G11" s="11">
        <v>2023</v>
      </c>
      <c r="H11" s="16">
        <v>45162</v>
      </c>
      <c r="I11" s="16">
        <v>45528</v>
      </c>
      <c r="J11" s="11">
        <v>29412</v>
      </c>
      <c r="K11" s="12" t="s">
        <v>40</v>
      </c>
      <c r="L11" s="16">
        <v>45361</v>
      </c>
      <c r="M11" s="12" t="s">
        <v>41</v>
      </c>
      <c r="N11" s="11" t="s">
        <v>42</v>
      </c>
      <c r="O11" s="25">
        <v>995244.3</v>
      </c>
      <c r="P11" s="2">
        <v>25</v>
      </c>
      <c r="Q11" s="25">
        <v>248811.07500000001</v>
      </c>
      <c r="R11" s="25">
        <v>474122.15823070798</v>
      </c>
      <c r="S11" s="25">
        <v>0</v>
      </c>
      <c r="T11" s="25">
        <v>519641</v>
      </c>
      <c r="U11" s="25">
        <v>1481.1417692920659</v>
      </c>
      <c r="V11" s="13">
        <v>103928</v>
      </c>
      <c r="W11" s="13">
        <v>0</v>
      </c>
      <c r="X11" s="13">
        <f t="shared" ref="X11:X42" si="0">W11*20%</f>
        <v>0</v>
      </c>
      <c r="Y11" s="13"/>
      <c r="Z11" s="31"/>
      <c r="AA11" s="27"/>
    </row>
    <row r="12" spans="2:27">
      <c r="B12" s="11">
        <v>2</v>
      </c>
      <c r="C12" s="1" t="s">
        <v>43</v>
      </c>
      <c r="D12" s="1" t="s">
        <v>37</v>
      </c>
      <c r="E12" s="1" t="s">
        <v>38</v>
      </c>
      <c r="F12" s="29" t="s">
        <v>39</v>
      </c>
      <c r="G12" s="11">
        <v>2023</v>
      </c>
      <c r="H12" s="16">
        <v>45162</v>
      </c>
      <c r="I12" s="16">
        <v>45528</v>
      </c>
      <c r="J12" s="11">
        <v>29412</v>
      </c>
      <c r="K12" s="12" t="s">
        <v>40</v>
      </c>
      <c r="L12" s="16">
        <v>45504</v>
      </c>
      <c r="M12" s="12" t="s">
        <v>41</v>
      </c>
      <c r="N12" s="11" t="s">
        <v>42</v>
      </c>
      <c r="O12" s="25">
        <v>17433180.25</v>
      </c>
      <c r="P12" s="2">
        <v>25</v>
      </c>
      <c r="Q12" s="25">
        <v>4358295.0625</v>
      </c>
      <c r="R12" s="25">
        <v>3534886.8821805199</v>
      </c>
      <c r="S12" s="25">
        <v>0</v>
      </c>
      <c r="T12" s="25">
        <v>13887247</v>
      </c>
      <c r="U12" s="25">
        <v>11046.367819480598</v>
      </c>
      <c r="V12" s="13">
        <v>2777449</v>
      </c>
      <c r="W12" s="13">
        <v>0</v>
      </c>
      <c r="X12" s="13">
        <f t="shared" si="0"/>
        <v>0</v>
      </c>
      <c r="Y12" s="13"/>
      <c r="Z12" s="31"/>
      <c r="AA12" s="27"/>
    </row>
    <row r="13" spans="2:27">
      <c r="B13" s="11">
        <v>3</v>
      </c>
      <c r="C13" s="1" t="s">
        <v>44</v>
      </c>
      <c r="D13" s="1" t="s">
        <v>45</v>
      </c>
      <c r="E13" s="1" t="s">
        <v>46</v>
      </c>
      <c r="F13" s="29" t="s">
        <v>39</v>
      </c>
      <c r="G13" s="11">
        <v>2023</v>
      </c>
      <c r="H13" s="16">
        <v>45291</v>
      </c>
      <c r="I13" s="16">
        <v>45657</v>
      </c>
      <c r="J13" s="11">
        <v>2702</v>
      </c>
      <c r="K13" s="12" t="s">
        <v>47</v>
      </c>
      <c r="L13" s="16">
        <v>45302</v>
      </c>
      <c r="M13" s="12" t="s">
        <v>41</v>
      </c>
      <c r="N13" s="11" t="s">
        <v>42</v>
      </c>
      <c r="O13" s="25">
        <v>3066153</v>
      </c>
      <c r="P13" s="2">
        <v>10</v>
      </c>
      <c r="Q13" s="25">
        <v>306615.3</v>
      </c>
      <c r="R13" s="25">
        <v>1896347.0649112901</v>
      </c>
      <c r="S13" s="25">
        <v>0</v>
      </c>
      <c r="T13" s="25">
        <v>1169806</v>
      </c>
      <c r="U13" s="25">
        <v>-6.4911290071904659E-2</v>
      </c>
      <c r="V13" s="13">
        <v>233961</v>
      </c>
      <c r="W13" s="13">
        <v>0</v>
      </c>
      <c r="X13" s="13">
        <f t="shared" si="0"/>
        <v>0</v>
      </c>
      <c r="Y13" s="13"/>
      <c r="Z13" s="31"/>
      <c r="AA13" s="27"/>
    </row>
    <row r="14" spans="2:27">
      <c r="B14" s="11">
        <v>4</v>
      </c>
      <c r="C14" s="1" t="s">
        <v>48</v>
      </c>
      <c r="D14" s="1" t="s">
        <v>49</v>
      </c>
      <c r="E14" s="1" t="s">
        <v>50</v>
      </c>
      <c r="F14" s="29" t="s">
        <v>39</v>
      </c>
      <c r="G14" s="11">
        <v>2023</v>
      </c>
      <c r="H14" s="16">
        <v>45291</v>
      </c>
      <c r="I14" s="16">
        <v>45657</v>
      </c>
      <c r="J14" s="11">
        <v>2702</v>
      </c>
      <c r="K14" s="12" t="s">
        <v>51</v>
      </c>
      <c r="L14" s="16">
        <v>45461</v>
      </c>
      <c r="M14" s="12" t="s">
        <v>41</v>
      </c>
      <c r="N14" s="11" t="s">
        <v>42</v>
      </c>
      <c r="O14" s="25">
        <v>21488753.600000001</v>
      </c>
      <c r="P14" s="2">
        <v>10</v>
      </c>
      <c r="Q14" s="25">
        <v>2148875.3600000003</v>
      </c>
      <c r="R14" s="25">
        <v>7166284.70329546</v>
      </c>
      <c r="S14" s="25">
        <v>0</v>
      </c>
      <c r="T14" s="25">
        <v>11130716</v>
      </c>
      <c r="U14" s="25">
        <v>3191752.8967045415</v>
      </c>
      <c r="V14" s="13">
        <v>2226143</v>
      </c>
      <c r="W14" s="13">
        <v>0</v>
      </c>
      <c r="X14" s="13">
        <f t="shared" si="0"/>
        <v>0</v>
      </c>
      <c r="Y14" s="13"/>
      <c r="Z14" s="31"/>
      <c r="AA14" s="27"/>
    </row>
    <row r="15" spans="2:27">
      <c r="B15" s="11">
        <v>5</v>
      </c>
      <c r="C15" s="1" t="s">
        <v>52</v>
      </c>
      <c r="D15" s="1" t="s">
        <v>49</v>
      </c>
      <c r="E15" s="1" t="s">
        <v>50</v>
      </c>
      <c r="F15" s="29" t="s">
        <v>39</v>
      </c>
      <c r="G15" s="11">
        <v>2023</v>
      </c>
      <c r="H15" s="16">
        <v>45291</v>
      </c>
      <c r="I15" s="16">
        <v>45657</v>
      </c>
      <c r="J15" s="11">
        <v>2702</v>
      </c>
      <c r="K15" s="12" t="s">
        <v>51</v>
      </c>
      <c r="L15" s="16">
        <v>45604</v>
      </c>
      <c r="M15" s="12" t="s">
        <v>41</v>
      </c>
      <c r="N15" s="11" t="s">
        <v>42</v>
      </c>
      <c r="O15" s="25">
        <v>21488753.600000001</v>
      </c>
      <c r="P15" s="2">
        <v>10</v>
      </c>
      <c r="Q15" s="25">
        <v>2148875.3600000003</v>
      </c>
      <c r="R15" s="25">
        <v>7166284.70329546</v>
      </c>
      <c r="S15" s="25">
        <v>0</v>
      </c>
      <c r="T15" s="25">
        <v>3191752</v>
      </c>
      <c r="U15" s="25">
        <v>11130716.896704542</v>
      </c>
      <c r="V15" s="13">
        <v>638350</v>
      </c>
      <c r="W15" s="13">
        <v>0</v>
      </c>
      <c r="X15" s="13">
        <f t="shared" si="0"/>
        <v>0</v>
      </c>
      <c r="Y15" s="13"/>
      <c r="Z15" s="31"/>
      <c r="AA15" s="27"/>
    </row>
    <row r="16" spans="2:27">
      <c r="B16" s="11">
        <v>6</v>
      </c>
      <c r="C16" s="1" t="s">
        <v>53</v>
      </c>
      <c r="D16" s="1" t="s">
        <v>54</v>
      </c>
      <c r="E16" s="1" t="s">
        <v>55</v>
      </c>
      <c r="F16" s="29" t="s">
        <v>39</v>
      </c>
      <c r="G16" s="11">
        <v>2023</v>
      </c>
      <c r="H16" s="16">
        <v>45291</v>
      </c>
      <c r="I16" s="16">
        <v>45657</v>
      </c>
      <c r="J16" s="11">
        <v>2702</v>
      </c>
      <c r="K16" s="12" t="s">
        <v>51</v>
      </c>
      <c r="L16" s="16">
        <v>45359</v>
      </c>
      <c r="M16" s="12" t="s">
        <v>41</v>
      </c>
      <c r="N16" s="11" t="s">
        <v>42</v>
      </c>
      <c r="O16" s="25">
        <v>1718189.5</v>
      </c>
      <c r="P16" s="2">
        <v>10</v>
      </c>
      <c r="Q16" s="25">
        <v>171818.95</v>
      </c>
      <c r="R16" s="25">
        <v>751463.83705769305</v>
      </c>
      <c r="S16" s="25">
        <v>0</v>
      </c>
      <c r="T16" s="25">
        <v>966727</v>
      </c>
      <c r="U16" s="25">
        <v>-1.3370576930465177</v>
      </c>
      <c r="V16" s="13">
        <v>193345</v>
      </c>
      <c r="W16" s="13">
        <v>0</v>
      </c>
      <c r="X16" s="13">
        <f t="shared" si="0"/>
        <v>0</v>
      </c>
      <c r="Y16" s="13"/>
      <c r="Z16" s="31"/>
      <c r="AA16" s="27"/>
    </row>
    <row r="17" spans="2:27">
      <c r="B17" s="11">
        <v>7</v>
      </c>
      <c r="C17" s="1" t="s">
        <v>56</v>
      </c>
      <c r="D17" s="1" t="s">
        <v>57</v>
      </c>
      <c r="E17" s="1" t="s">
        <v>58</v>
      </c>
      <c r="F17" s="29" t="s">
        <v>39</v>
      </c>
      <c r="G17" s="11">
        <v>2023</v>
      </c>
      <c r="H17" s="16">
        <v>45194</v>
      </c>
      <c r="I17" s="16">
        <v>45560</v>
      </c>
      <c r="J17" s="11">
        <v>2522</v>
      </c>
      <c r="K17" s="12" t="s">
        <v>59</v>
      </c>
      <c r="L17" s="16">
        <v>45213</v>
      </c>
      <c r="M17" s="12" t="s">
        <v>41</v>
      </c>
      <c r="N17" s="11" t="s">
        <v>42</v>
      </c>
      <c r="O17" s="25">
        <v>1664072990.0999999</v>
      </c>
      <c r="P17" s="2">
        <v>5</v>
      </c>
      <c r="Q17" s="25">
        <v>83203649.504999995</v>
      </c>
      <c r="R17" s="25">
        <v>945607322.96424496</v>
      </c>
      <c r="S17" s="25">
        <v>0</v>
      </c>
      <c r="T17" s="25">
        <v>717677660</v>
      </c>
      <c r="U17" s="25">
        <v>788007.13575494289</v>
      </c>
      <c r="V17" s="13">
        <v>143535532</v>
      </c>
      <c r="W17" s="13">
        <v>939635925.54999995</v>
      </c>
      <c r="X17" s="13">
        <f t="shared" si="0"/>
        <v>187927185.11000001</v>
      </c>
      <c r="Y17" s="13"/>
      <c r="Z17" s="31"/>
      <c r="AA17" s="27"/>
    </row>
    <row r="18" spans="2:27">
      <c r="B18" s="11">
        <v>8</v>
      </c>
      <c r="C18" s="1" t="s">
        <v>56</v>
      </c>
      <c r="D18" s="1" t="s">
        <v>57</v>
      </c>
      <c r="E18" s="1" t="s">
        <v>58</v>
      </c>
      <c r="F18" s="29" t="s">
        <v>39</v>
      </c>
      <c r="G18" s="11">
        <v>2023</v>
      </c>
      <c r="H18" s="16">
        <v>45194</v>
      </c>
      <c r="I18" s="16">
        <v>45560</v>
      </c>
      <c r="J18" s="11">
        <v>2522</v>
      </c>
      <c r="K18" s="12" t="s">
        <v>59</v>
      </c>
      <c r="L18" s="16">
        <v>45213</v>
      </c>
      <c r="M18" s="12" t="s">
        <v>41</v>
      </c>
      <c r="N18" s="11" t="s">
        <v>60</v>
      </c>
      <c r="O18" s="25">
        <v>408.55</v>
      </c>
      <c r="P18" s="2">
        <v>5</v>
      </c>
      <c r="Q18" s="25">
        <v>20.427500000000002</v>
      </c>
      <c r="R18" s="25">
        <v>316.22000000000003</v>
      </c>
      <c r="S18" s="25">
        <v>0</v>
      </c>
      <c r="T18" s="25">
        <v>127.41</v>
      </c>
      <c r="U18" s="25">
        <v>-35.080000000000013</v>
      </c>
      <c r="V18" s="13">
        <v>25.48</v>
      </c>
      <c r="W18" s="13">
        <v>939635925.54999995</v>
      </c>
      <c r="X18" s="13">
        <f t="shared" si="0"/>
        <v>187927185.11000001</v>
      </c>
      <c r="Y18" s="13"/>
      <c r="Z18" s="31"/>
      <c r="AA18" s="27"/>
    </row>
    <row r="19" spans="2:27">
      <c r="B19" s="11">
        <v>9</v>
      </c>
      <c r="C19" s="1" t="s">
        <v>61</v>
      </c>
      <c r="D19" s="1" t="s">
        <v>62</v>
      </c>
      <c r="E19" s="1" t="s">
        <v>63</v>
      </c>
      <c r="F19" s="29" t="s">
        <v>39</v>
      </c>
      <c r="G19" s="11">
        <v>2023</v>
      </c>
      <c r="H19" s="16">
        <v>45194</v>
      </c>
      <c r="I19" s="16">
        <v>45560</v>
      </c>
      <c r="J19" s="11">
        <v>2522</v>
      </c>
      <c r="K19" s="12" t="s">
        <v>64</v>
      </c>
      <c r="L19" s="16">
        <v>45213</v>
      </c>
      <c r="M19" s="12" t="s">
        <v>41</v>
      </c>
      <c r="N19" s="11" t="s">
        <v>42</v>
      </c>
      <c r="O19" s="25">
        <v>114485395.2</v>
      </c>
      <c r="P19" s="2">
        <v>5</v>
      </c>
      <c r="Q19" s="25">
        <v>5724269.7600000007</v>
      </c>
      <c r="R19" s="25">
        <v>65056177.654244699</v>
      </c>
      <c r="S19" s="25">
        <v>0</v>
      </c>
      <c r="T19" s="25">
        <v>49375004</v>
      </c>
      <c r="U19" s="25">
        <v>54213.545755304396</v>
      </c>
      <c r="V19" s="13">
        <v>9875001</v>
      </c>
      <c r="W19" s="13">
        <v>19923786.949999999</v>
      </c>
      <c r="X19" s="13">
        <f t="shared" si="0"/>
        <v>3984757.39</v>
      </c>
      <c r="Y19" s="13"/>
      <c r="Z19" s="31"/>
      <c r="AA19" s="27"/>
    </row>
    <row r="20" spans="2:27">
      <c r="B20" s="11">
        <v>10</v>
      </c>
      <c r="C20" s="1" t="s">
        <v>65</v>
      </c>
      <c r="D20" s="1" t="s">
        <v>66</v>
      </c>
      <c r="E20" s="1" t="s">
        <v>67</v>
      </c>
      <c r="F20" s="29" t="s">
        <v>39</v>
      </c>
      <c r="G20" s="11">
        <v>2023</v>
      </c>
      <c r="H20" s="16">
        <v>45164</v>
      </c>
      <c r="I20" s="16">
        <v>45530</v>
      </c>
      <c r="J20" s="11">
        <v>2423</v>
      </c>
      <c r="K20" s="12" t="s">
        <v>68</v>
      </c>
      <c r="L20" s="16">
        <v>45332</v>
      </c>
      <c r="M20" s="12" t="s">
        <v>41</v>
      </c>
      <c r="N20" s="11" t="s">
        <v>60</v>
      </c>
      <c r="O20" s="25">
        <v>253.75</v>
      </c>
      <c r="P20" s="2">
        <v>12.5</v>
      </c>
      <c r="Q20" s="25">
        <v>31.71875</v>
      </c>
      <c r="R20" s="25">
        <v>103.49</v>
      </c>
      <c r="S20" s="25">
        <v>0</v>
      </c>
      <c r="T20" s="25">
        <v>149.96</v>
      </c>
      <c r="U20" s="25">
        <v>0.29999999999998295</v>
      </c>
      <c r="V20" s="13">
        <v>29.99</v>
      </c>
      <c r="W20" s="13">
        <v>0</v>
      </c>
      <c r="X20" s="13">
        <f t="shared" si="0"/>
        <v>0</v>
      </c>
      <c r="Y20" s="13"/>
      <c r="Z20" s="31"/>
      <c r="AA20" s="27"/>
    </row>
    <row r="21" spans="2:27">
      <c r="B21" s="11">
        <v>11</v>
      </c>
      <c r="C21" s="1" t="s">
        <v>69</v>
      </c>
      <c r="D21" s="1" t="s">
        <v>70</v>
      </c>
      <c r="E21" s="1" t="s">
        <v>71</v>
      </c>
      <c r="F21" s="29" t="s">
        <v>39</v>
      </c>
      <c r="G21" s="11">
        <v>2023</v>
      </c>
      <c r="H21" s="16">
        <v>45107</v>
      </c>
      <c r="I21" s="16">
        <v>45473</v>
      </c>
      <c r="J21" s="11">
        <v>23004</v>
      </c>
      <c r="K21" s="12" t="s">
        <v>72</v>
      </c>
      <c r="L21" s="16">
        <v>45223</v>
      </c>
      <c r="M21" s="12" t="s">
        <v>41</v>
      </c>
      <c r="N21" s="11" t="s">
        <v>42</v>
      </c>
      <c r="O21" s="25">
        <v>1073370</v>
      </c>
      <c r="P21" s="2">
        <v>5</v>
      </c>
      <c r="Q21" s="25">
        <v>53668.5</v>
      </c>
      <c r="R21" s="25">
        <v>916251.17211413104</v>
      </c>
      <c r="S21" s="25">
        <v>0</v>
      </c>
      <c r="T21" s="25">
        <v>156355</v>
      </c>
      <c r="U21" s="25">
        <v>763.82788586895913</v>
      </c>
      <c r="V21" s="13">
        <v>31271</v>
      </c>
      <c r="W21" s="13">
        <v>0</v>
      </c>
      <c r="X21" s="13">
        <f t="shared" si="0"/>
        <v>0</v>
      </c>
      <c r="Y21" s="13"/>
      <c r="Z21" s="31"/>
      <c r="AA21" s="27"/>
    </row>
    <row r="22" spans="2:27">
      <c r="B22" s="11">
        <v>12</v>
      </c>
      <c r="C22" s="1" t="s">
        <v>73</v>
      </c>
      <c r="D22" s="1" t="s">
        <v>74</v>
      </c>
      <c r="E22" s="1" t="s">
        <v>75</v>
      </c>
      <c r="F22" s="29" t="s">
        <v>39</v>
      </c>
      <c r="G22" s="11">
        <v>2023</v>
      </c>
      <c r="H22" s="16">
        <v>45260</v>
      </c>
      <c r="I22" s="16">
        <v>45626</v>
      </c>
      <c r="J22" s="11">
        <v>29412</v>
      </c>
      <c r="K22" s="12" t="s">
        <v>76</v>
      </c>
      <c r="L22" s="16">
        <v>45474</v>
      </c>
      <c r="M22" s="12" t="s">
        <v>41</v>
      </c>
      <c r="N22" s="11" t="s">
        <v>42</v>
      </c>
      <c r="O22" s="25">
        <v>1962859</v>
      </c>
      <c r="P22" s="2">
        <v>5</v>
      </c>
      <c r="Q22" s="25">
        <v>98142.950000000012</v>
      </c>
      <c r="R22" s="25">
        <v>547621.77996837895</v>
      </c>
      <c r="S22" s="25">
        <v>0</v>
      </c>
      <c r="T22" s="25">
        <v>1414781</v>
      </c>
      <c r="U22" s="25">
        <v>456.22003162093461</v>
      </c>
      <c r="V22" s="13">
        <v>282956</v>
      </c>
      <c r="W22" s="13">
        <v>0</v>
      </c>
      <c r="X22" s="13">
        <f t="shared" si="0"/>
        <v>0</v>
      </c>
      <c r="Y22" s="13"/>
      <c r="Z22" s="31"/>
      <c r="AA22" s="27"/>
    </row>
    <row r="23" spans="2:27">
      <c r="B23" s="11">
        <v>13</v>
      </c>
      <c r="C23" s="1" t="s">
        <v>77</v>
      </c>
      <c r="D23" s="1" t="s">
        <v>78</v>
      </c>
      <c r="E23" s="1" t="s">
        <v>79</v>
      </c>
      <c r="F23" s="29" t="s">
        <v>39</v>
      </c>
      <c r="G23" s="11">
        <v>2023</v>
      </c>
      <c r="H23" s="16">
        <v>45230</v>
      </c>
      <c r="I23" s="16">
        <v>45596</v>
      </c>
      <c r="J23" s="11">
        <v>2761</v>
      </c>
      <c r="K23" s="12" t="s">
        <v>80</v>
      </c>
      <c r="L23" s="16">
        <v>45401</v>
      </c>
      <c r="M23" s="12" t="s">
        <v>41</v>
      </c>
      <c r="N23" s="11" t="s">
        <v>42</v>
      </c>
      <c r="O23" s="25">
        <v>637797.326</v>
      </c>
      <c r="P23" s="2">
        <v>10</v>
      </c>
      <c r="Q23" s="25">
        <v>63779.732600000003</v>
      </c>
      <c r="R23" s="25">
        <v>86059.202578890501</v>
      </c>
      <c r="S23" s="25">
        <v>0</v>
      </c>
      <c r="T23" s="25">
        <v>551634</v>
      </c>
      <c r="U23" s="25">
        <v>104.12342110951431</v>
      </c>
      <c r="V23" s="13">
        <v>110327</v>
      </c>
      <c r="W23" s="13">
        <v>0</v>
      </c>
      <c r="X23" s="13">
        <f t="shared" si="0"/>
        <v>0</v>
      </c>
      <c r="Y23" s="13"/>
      <c r="Z23" s="31"/>
      <c r="AA23" s="27"/>
    </row>
    <row r="24" spans="2:27">
      <c r="B24" s="11">
        <v>14</v>
      </c>
      <c r="C24" s="1" t="s">
        <v>81</v>
      </c>
      <c r="D24" s="1" t="s">
        <v>82</v>
      </c>
      <c r="E24" s="1" t="s">
        <v>83</v>
      </c>
      <c r="F24" s="29" t="s">
        <v>39</v>
      </c>
      <c r="G24" s="11">
        <v>2023</v>
      </c>
      <c r="H24" s="16">
        <v>45291</v>
      </c>
      <c r="I24" s="16">
        <v>45657</v>
      </c>
      <c r="J24" s="11">
        <v>2971</v>
      </c>
      <c r="K24" s="12" t="s">
        <v>84</v>
      </c>
      <c r="L24" s="16">
        <v>45456</v>
      </c>
      <c r="M24" s="12" t="s">
        <v>41</v>
      </c>
      <c r="N24" s="11" t="s">
        <v>42</v>
      </c>
      <c r="O24" s="25">
        <v>1055172.55</v>
      </c>
      <c r="P24" s="2">
        <v>5</v>
      </c>
      <c r="Q24" s="25">
        <v>52758.627500000002</v>
      </c>
      <c r="R24" s="25">
        <v>987169.15214652801</v>
      </c>
      <c r="S24" s="25">
        <v>0</v>
      </c>
      <c r="T24" s="25">
        <v>25364</v>
      </c>
      <c r="U24" s="25">
        <v>42639.397853472037</v>
      </c>
      <c r="V24" s="13">
        <v>5073</v>
      </c>
      <c r="W24" s="13">
        <v>0</v>
      </c>
      <c r="X24" s="13">
        <f t="shared" si="0"/>
        <v>0</v>
      </c>
      <c r="Y24" s="13"/>
      <c r="Z24" s="31"/>
      <c r="AA24" s="27"/>
    </row>
    <row r="25" spans="2:27">
      <c r="B25" s="11">
        <v>15</v>
      </c>
      <c r="C25" s="1" t="s">
        <v>85</v>
      </c>
      <c r="D25" s="1" t="s">
        <v>82</v>
      </c>
      <c r="E25" s="1" t="s">
        <v>83</v>
      </c>
      <c r="F25" s="29" t="s">
        <v>39</v>
      </c>
      <c r="G25" s="11">
        <v>2023</v>
      </c>
      <c r="H25" s="16">
        <v>45291</v>
      </c>
      <c r="I25" s="16">
        <v>45657</v>
      </c>
      <c r="J25" s="11">
        <v>2971</v>
      </c>
      <c r="K25" s="12" t="s">
        <v>84</v>
      </c>
      <c r="L25" s="16">
        <v>45440</v>
      </c>
      <c r="M25" s="12" t="s">
        <v>41</v>
      </c>
      <c r="N25" s="11" t="s">
        <v>42</v>
      </c>
      <c r="O25" s="25">
        <v>1055172.55</v>
      </c>
      <c r="P25" s="2">
        <v>5</v>
      </c>
      <c r="Q25" s="25">
        <v>52758.627500000002</v>
      </c>
      <c r="R25" s="25">
        <v>987169.15214652801</v>
      </c>
      <c r="S25" s="25">
        <v>0</v>
      </c>
      <c r="T25" s="25">
        <v>42392</v>
      </c>
      <c r="U25" s="25">
        <v>25611.397853472037</v>
      </c>
      <c r="V25" s="13">
        <v>8478</v>
      </c>
      <c r="W25" s="13">
        <v>0</v>
      </c>
      <c r="X25" s="13">
        <f t="shared" si="0"/>
        <v>0</v>
      </c>
      <c r="Y25" s="13"/>
      <c r="Z25" s="31"/>
      <c r="AA25" s="27"/>
    </row>
    <row r="26" spans="2:27">
      <c r="B26" s="11">
        <v>16</v>
      </c>
      <c r="C26" s="1" t="s">
        <v>86</v>
      </c>
      <c r="D26" s="1" t="s">
        <v>87</v>
      </c>
      <c r="E26" s="1" t="s">
        <v>88</v>
      </c>
      <c r="F26" s="29" t="s">
        <v>39</v>
      </c>
      <c r="G26" s="11">
        <v>2023</v>
      </c>
      <c r="H26" s="16">
        <v>45199</v>
      </c>
      <c r="I26" s="16">
        <v>45657</v>
      </c>
      <c r="J26" s="11">
        <v>2702</v>
      </c>
      <c r="K26" s="12" t="s">
        <v>51</v>
      </c>
      <c r="L26" s="16">
        <v>45490</v>
      </c>
      <c r="M26" s="12" t="s">
        <v>41</v>
      </c>
      <c r="N26" s="11" t="s">
        <v>42</v>
      </c>
      <c r="O26" s="25">
        <v>23224666</v>
      </c>
      <c r="P26" s="2">
        <v>10</v>
      </c>
      <c r="Q26" s="25">
        <v>2322466.6</v>
      </c>
      <c r="R26" s="25">
        <v>6709547.1799114197</v>
      </c>
      <c r="S26" s="25">
        <v>0</v>
      </c>
      <c r="T26" s="25">
        <v>16503937</v>
      </c>
      <c r="U26" s="25">
        <v>11181.820088580251</v>
      </c>
      <c r="V26" s="13">
        <v>3300787</v>
      </c>
      <c r="W26" s="13">
        <v>3350147801.9050002</v>
      </c>
      <c r="X26" s="13">
        <f t="shared" si="0"/>
        <v>670029560.38100004</v>
      </c>
      <c r="Y26" s="13"/>
      <c r="Z26" s="31"/>
      <c r="AA26" s="27"/>
    </row>
    <row r="27" spans="2:27">
      <c r="B27" s="11">
        <v>17</v>
      </c>
      <c r="C27" s="1" t="s">
        <v>89</v>
      </c>
      <c r="D27" s="1" t="s">
        <v>90</v>
      </c>
      <c r="E27" s="1" t="s">
        <v>91</v>
      </c>
      <c r="F27" s="29" t="s">
        <v>39</v>
      </c>
      <c r="G27" s="11">
        <v>2023</v>
      </c>
      <c r="H27" s="16">
        <v>45291</v>
      </c>
      <c r="I27" s="16">
        <v>45657</v>
      </c>
      <c r="J27" s="11">
        <v>2943</v>
      </c>
      <c r="K27" s="12" t="s">
        <v>92</v>
      </c>
      <c r="L27" s="16">
        <v>45409</v>
      </c>
      <c r="M27" s="12" t="s">
        <v>41</v>
      </c>
      <c r="N27" s="11" t="s">
        <v>42</v>
      </c>
      <c r="O27" s="25">
        <v>552333.30000000005</v>
      </c>
      <c r="P27" s="2">
        <v>10</v>
      </c>
      <c r="Q27" s="25">
        <v>55233.330000000009</v>
      </c>
      <c r="R27" s="25">
        <v>147946.41964285701</v>
      </c>
      <c r="S27" s="25">
        <v>0</v>
      </c>
      <c r="T27" s="25">
        <v>354824</v>
      </c>
      <c r="U27" s="25">
        <v>49562.880357143003</v>
      </c>
      <c r="V27" s="13">
        <v>70965</v>
      </c>
      <c r="W27" s="13">
        <v>0</v>
      </c>
      <c r="X27" s="13">
        <f t="shared" si="0"/>
        <v>0</v>
      </c>
      <c r="Y27" s="13"/>
      <c r="Z27" s="31"/>
      <c r="AA27" s="27"/>
    </row>
    <row r="28" spans="2:27">
      <c r="B28" s="11">
        <v>18</v>
      </c>
      <c r="C28" s="1" t="s">
        <v>93</v>
      </c>
      <c r="D28" s="1" t="s">
        <v>94</v>
      </c>
      <c r="E28" s="1" t="s">
        <v>95</v>
      </c>
      <c r="F28" s="29" t="s">
        <v>39</v>
      </c>
      <c r="G28" s="11">
        <v>2023</v>
      </c>
      <c r="H28" s="16">
        <v>45291</v>
      </c>
      <c r="I28" s="16">
        <v>45657</v>
      </c>
      <c r="J28" s="11">
        <v>2975</v>
      </c>
      <c r="K28" s="12" t="s">
        <v>96</v>
      </c>
      <c r="L28" s="16">
        <v>45409</v>
      </c>
      <c r="M28" s="12" t="s">
        <v>41</v>
      </c>
      <c r="N28" s="11" t="s">
        <v>42</v>
      </c>
      <c r="O28" s="25">
        <v>28786821.899999999</v>
      </c>
      <c r="P28" s="2">
        <v>10</v>
      </c>
      <c r="Q28" s="25">
        <v>2878682.19</v>
      </c>
      <c r="R28" s="25">
        <v>6908837.2560000001</v>
      </c>
      <c r="S28" s="25">
        <v>0</v>
      </c>
      <c r="T28" s="25">
        <v>19563523</v>
      </c>
      <c r="U28" s="25">
        <v>2314461.6439999975</v>
      </c>
      <c r="V28" s="13">
        <v>3912705</v>
      </c>
      <c r="W28" s="13">
        <v>0</v>
      </c>
      <c r="X28" s="13">
        <f t="shared" si="0"/>
        <v>0</v>
      </c>
      <c r="Y28" s="13"/>
      <c r="Z28" s="31"/>
      <c r="AA28" s="27"/>
    </row>
    <row r="29" spans="2:27">
      <c r="B29" s="11">
        <v>19</v>
      </c>
      <c r="C29" s="1" t="s">
        <v>97</v>
      </c>
      <c r="D29" s="1" t="s">
        <v>98</v>
      </c>
      <c r="E29" s="1" t="s">
        <v>99</v>
      </c>
      <c r="F29" s="29" t="s">
        <v>39</v>
      </c>
      <c r="G29" s="11">
        <v>2023</v>
      </c>
      <c r="H29" s="16">
        <v>45291</v>
      </c>
      <c r="I29" s="16">
        <v>45657</v>
      </c>
      <c r="J29" s="11">
        <v>2975</v>
      </c>
      <c r="K29" s="12" t="s">
        <v>100</v>
      </c>
      <c r="L29" s="16">
        <v>45409</v>
      </c>
      <c r="M29" s="12" t="s">
        <v>41</v>
      </c>
      <c r="N29" s="11" t="s">
        <v>42</v>
      </c>
      <c r="O29" s="25">
        <v>7644583.7999999998</v>
      </c>
      <c r="P29" s="2">
        <v>10</v>
      </c>
      <c r="Q29" s="25">
        <v>764458.38</v>
      </c>
      <c r="R29" s="25">
        <v>3520146.0322333002</v>
      </c>
      <c r="S29" s="25">
        <v>0</v>
      </c>
      <c r="T29" s="25">
        <v>3354111</v>
      </c>
      <c r="U29" s="25">
        <v>770326.76776669966</v>
      </c>
      <c r="V29" s="13">
        <v>670822</v>
      </c>
      <c r="W29" s="13">
        <v>0</v>
      </c>
      <c r="X29" s="13">
        <f t="shared" si="0"/>
        <v>0</v>
      </c>
      <c r="Y29" s="13"/>
      <c r="Z29" s="31"/>
      <c r="AA29" s="27"/>
    </row>
    <row r="30" spans="2:27">
      <c r="B30" s="11">
        <v>20</v>
      </c>
      <c r="C30" s="1" t="s">
        <v>101</v>
      </c>
      <c r="D30" s="1" t="s">
        <v>102</v>
      </c>
      <c r="E30" s="1" t="s">
        <v>103</v>
      </c>
      <c r="F30" s="29" t="s">
        <v>39</v>
      </c>
      <c r="G30" s="11">
        <v>2023</v>
      </c>
      <c r="H30" s="16">
        <v>45016</v>
      </c>
      <c r="I30" s="16">
        <v>45382</v>
      </c>
      <c r="J30" s="11">
        <v>28111</v>
      </c>
      <c r="K30" s="12" t="s">
        <v>104</v>
      </c>
      <c r="L30" s="16">
        <v>45030</v>
      </c>
      <c r="M30" s="12" t="s">
        <v>41</v>
      </c>
      <c r="N30" s="11" t="s">
        <v>60</v>
      </c>
      <c r="O30" s="25">
        <v>56220.160000000003</v>
      </c>
      <c r="P30" s="2">
        <v>5</v>
      </c>
      <c r="Q30" s="25">
        <v>2811.0080000000003</v>
      </c>
      <c r="R30" s="25">
        <v>6679.99</v>
      </c>
      <c r="S30" s="25">
        <v>0</v>
      </c>
      <c r="T30" s="25">
        <v>50699.6</v>
      </c>
      <c r="U30" s="25">
        <v>-1159.429999999993</v>
      </c>
      <c r="V30" s="13">
        <v>10139.92</v>
      </c>
      <c r="W30" s="13">
        <v>1281019610.5125</v>
      </c>
      <c r="X30" s="13">
        <f t="shared" si="0"/>
        <v>256203922.10250002</v>
      </c>
      <c r="Y30" s="13"/>
      <c r="Z30" s="31"/>
      <c r="AA30" s="27"/>
    </row>
    <row r="31" spans="2:27">
      <c r="B31" s="11">
        <v>21</v>
      </c>
      <c r="C31" s="1" t="s">
        <v>105</v>
      </c>
      <c r="D31" s="1" t="s">
        <v>106</v>
      </c>
      <c r="E31" s="1" t="s">
        <v>107</v>
      </c>
      <c r="F31" s="29" t="s">
        <v>39</v>
      </c>
      <c r="G31" s="11">
        <v>2023</v>
      </c>
      <c r="H31" s="16">
        <v>45138</v>
      </c>
      <c r="I31" s="16">
        <v>45504</v>
      </c>
      <c r="J31" s="11">
        <v>2734</v>
      </c>
      <c r="K31" s="12" t="s">
        <v>108</v>
      </c>
      <c r="L31" s="16">
        <v>45364</v>
      </c>
      <c r="M31" s="12" t="s">
        <v>41</v>
      </c>
      <c r="N31" s="11" t="s">
        <v>42</v>
      </c>
      <c r="O31" s="25">
        <v>166635201.40000001</v>
      </c>
      <c r="P31" s="2">
        <v>10</v>
      </c>
      <c r="Q31" s="25">
        <v>16663520.140000001</v>
      </c>
      <c r="R31" s="25">
        <v>86578017.5840794</v>
      </c>
      <c r="S31" s="25">
        <v>0</v>
      </c>
      <c r="T31" s="25">
        <v>79912887</v>
      </c>
      <c r="U31" s="25">
        <v>144296.81592060626</v>
      </c>
      <c r="V31" s="13">
        <v>15982577</v>
      </c>
      <c r="W31" s="13">
        <v>0</v>
      </c>
      <c r="X31" s="13">
        <f t="shared" si="0"/>
        <v>0</v>
      </c>
      <c r="Y31" s="13"/>
      <c r="Z31" s="31"/>
      <c r="AA31" s="27"/>
    </row>
    <row r="32" spans="2:27">
      <c r="B32" s="11">
        <v>22</v>
      </c>
      <c r="C32" s="1" t="s">
        <v>105</v>
      </c>
      <c r="D32" s="1" t="s">
        <v>106</v>
      </c>
      <c r="E32" s="1" t="s">
        <v>107</v>
      </c>
      <c r="F32" s="29" t="s">
        <v>39</v>
      </c>
      <c r="G32" s="11">
        <v>2023</v>
      </c>
      <c r="H32" s="16">
        <v>45138</v>
      </c>
      <c r="I32" s="16">
        <v>45504</v>
      </c>
      <c r="J32" s="11">
        <v>2734</v>
      </c>
      <c r="K32" s="12" t="s">
        <v>108</v>
      </c>
      <c r="L32" s="16">
        <v>45364</v>
      </c>
      <c r="M32" s="12" t="s">
        <v>41</v>
      </c>
      <c r="N32" s="11" t="s">
        <v>60</v>
      </c>
      <c r="O32" s="25">
        <v>803.15700000000004</v>
      </c>
      <c r="P32" s="2">
        <v>10</v>
      </c>
      <c r="Q32" s="25">
        <v>80.315700000000007</v>
      </c>
      <c r="R32" s="25">
        <v>417.29</v>
      </c>
      <c r="S32" s="25">
        <v>0</v>
      </c>
      <c r="T32" s="25">
        <v>385.16</v>
      </c>
      <c r="U32" s="25">
        <v>0.70699999999999363</v>
      </c>
      <c r="V32" s="13">
        <v>77.03</v>
      </c>
      <c r="W32" s="13">
        <v>0</v>
      </c>
      <c r="X32" s="13">
        <f t="shared" si="0"/>
        <v>0</v>
      </c>
      <c r="Y32" s="13"/>
      <c r="Z32" s="31"/>
      <c r="AA32" s="27"/>
    </row>
    <row r="33" spans="2:27">
      <c r="B33" s="11">
        <v>23</v>
      </c>
      <c r="C33" s="1" t="s">
        <v>109</v>
      </c>
      <c r="D33" s="1" t="s">
        <v>110</v>
      </c>
      <c r="E33" s="1" t="s">
        <v>111</v>
      </c>
      <c r="F33" s="29" t="s">
        <v>39</v>
      </c>
      <c r="G33" s="11">
        <v>2023</v>
      </c>
      <c r="H33" s="16">
        <v>45230</v>
      </c>
      <c r="I33" s="16">
        <v>45596</v>
      </c>
      <c r="J33" s="11">
        <v>2976</v>
      </c>
      <c r="K33" s="12" t="s">
        <v>112</v>
      </c>
      <c r="L33" s="16">
        <v>45325</v>
      </c>
      <c r="M33" s="12" t="s">
        <v>41</v>
      </c>
      <c r="N33" s="11" t="s">
        <v>42</v>
      </c>
      <c r="O33" s="25">
        <v>63587.1000000001</v>
      </c>
      <c r="P33" s="2">
        <v>15</v>
      </c>
      <c r="Q33" s="25">
        <v>9538.0650000000151</v>
      </c>
      <c r="R33" s="25">
        <v>19606.839342391399</v>
      </c>
      <c r="S33" s="25">
        <v>0</v>
      </c>
      <c r="T33" s="25">
        <v>43882</v>
      </c>
      <c r="U33" s="25">
        <v>98.260657608698239</v>
      </c>
      <c r="V33" s="13">
        <v>8776</v>
      </c>
      <c r="W33" s="13">
        <v>0</v>
      </c>
      <c r="X33" s="13">
        <f t="shared" si="0"/>
        <v>0</v>
      </c>
      <c r="Y33" s="13"/>
      <c r="Z33" s="31"/>
      <c r="AA33" s="27"/>
    </row>
    <row r="34" spans="2:27">
      <c r="B34" s="11">
        <v>24</v>
      </c>
      <c r="C34" s="1" t="s">
        <v>113</v>
      </c>
      <c r="D34" s="1" t="s">
        <v>114</v>
      </c>
      <c r="E34" s="1" t="s">
        <v>115</v>
      </c>
      <c r="F34" s="29" t="s">
        <v>39</v>
      </c>
      <c r="G34" s="11">
        <v>2023</v>
      </c>
      <c r="H34" s="16">
        <v>45230</v>
      </c>
      <c r="I34" s="16">
        <v>45596</v>
      </c>
      <c r="J34" s="11">
        <v>2976</v>
      </c>
      <c r="K34" s="12" t="s">
        <v>116</v>
      </c>
      <c r="L34" s="16">
        <v>45478</v>
      </c>
      <c r="M34" s="12" t="s">
        <v>41</v>
      </c>
      <c r="N34" s="11" t="s">
        <v>42</v>
      </c>
      <c r="O34" s="25">
        <v>73620830.25</v>
      </c>
      <c r="P34" s="2">
        <v>15</v>
      </c>
      <c r="Q34" s="25">
        <v>11043124.5375</v>
      </c>
      <c r="R34" s="25">
        <v>12315912.0215734</v>
      </c>
      <c r="S34" s="25">
        <v>0</v>
      </c>
      <c r="T34" s="25">
        <v>37509467</v>
      </c>
      <c r="U34" s="25">
        <v>23795451.228426598</v>
      </c>
      <c r="V34" s="13">
        <v>7501894</v>
      </c>
      <c r="W34" s="13">
        <v>0</v>
      </c>
      <c r="X34" s="13">
        <f t="shared" si="0"/>
        <v>0</v>
      </c>
      <c r="Y34" s="13"/>
      <c r="Z34" s="31"/>
      <c r="AA34" s="27"/>
    </row>
    <row r="35" spans="2:27">
      <c r="B35" s="11">
        <v>25</v>
      </c>
      <c r="C35" s="1" t="s">
        <v>117</v>
      </c>
      <c r="D35" s="1" t="s">
        <v>114</v>
      </c>
      <c r="E35" s="1" t="s">
        <v>115</v>
      </c>
      <c r="F35" s="29" t="s">
        <v>39</v>
      </c>
      <c r="G35" s="11">
        <v>2023</v>
      </c>
      <c r="H35" s="16">
        <v>45230</v>
      </c>
      <c r="I35" s="16">
        <v>45596</v>
      </c>
      <c r="J35" s="11">
        <v>2976</v>
      </c>
      <c r="K35" s="12" t="s">
        <v>116</v>
      </c>
      <c r="L35" s="16">
        <v>45587</v>
      </c>
      <c r="M35" s="12" t="s">
        <v>41</v>
      </c>
      <c r="N35" s="11" t="s">
        <v>42</v>
      </c>
      <c r="O35" s="25">
        <v>73620830.25</v>
      </c>
      <c r="P35" s="2">
        <v>15</v>
      </c>
      <c r="Q35" s="25">
        <v>11043124.5375</v>
      </c>
      <c r="R35" s="25">
        <v>12315912.0215734</v>
      </c>
      <c r="S35" s="25">
        <v>0</v>
      </c>
      <c r="T35" s="25">
        <v>23692818</v>
      </c>
      <c r="U35" s="25">
        <v>37612100.228426598</v>
      </c>
      <c r="V35" s="13">
        <v>4738564</v>
      </c>
      <c r="W35" s="13">
        <v>0</v>
      </c>
      <c r="X35" s="13">
        <f t="shared" si="0"/>
        <v>0</v>
      </c>
      <c r="Y35" s="13"/>
      <c r="Z35" s="31"/>
      <c r="AA35" s="27"/>
    </row>
    <row r="36" spans="2:27">
      <c r="B36" s="11">
        <v>26</v>
      </c>
      <c r="C36" s="1" t="s">
        <v>118</v>
      </c>
      <c r="D36" s="1" t="s">
        <v>119</v>
      </c>
      <c r="E36" s="1" t="s">
        <v>120</v>
      </c>
      <c r="F36" s="29" t="s">
        <v>39</v>
      </c>
      <c r="G36" s="11">
        <v>2023</v>
      </c>
      <c r="H36" s="16">
        <v>45230</v>
      </c>
      <c r="I36" s="16">
        <v>45596</v>
      </c>
      <c r="J36" s="11">
        <v>2976</v>
      </c>
      <c r="K36" s="12" t="s">
        <v>121</v>
      </c>
      <c r="L36" s="16">
        <v>45350</v>
      </c>
      <c r="M36" s="12" t="s">
        <v>41</v>
      </c>
      <c r="N36" s="11" t="s">
        <v>42</v>
      </c>
      <c r="O36" s="25">
        <v>35769499.950000003</v>
      </c>
      <c r="P36" s="2">
        <v>15</v>
      </c>
      <c r="Q36" s="25">
        <v>5365424.9925000006</v>
      </c>
      <c r="R36" s="25">
        <v>19757508.0708347</v>
      </c>
      <c r="S36" s="25">
        <v>0</v>
      </c>
      <c r="T36" s="25">
        <v>15847346</v>
      </c>
      <c r="U36" s="25">
        <v>164645.87916530296</v>
      </c>
      <c r="V36" s="13">
        <v>3169469</v>
      </c>
      <c r="W36" s="13">
        <v>0</v>
      </c>
      <c r="X36" s="13">
        <f t="shared" si="0"/>
        <v>0</v>
      </c>
      <c r="Y36" s="13"/>
      <c r="Z36" s="31"/>
      <c r="AA36" s="27"/>
    </row>
    <row r="37" spans="2:27">
      <c r="B37" s="11">
        <v>27</v>
      </c>
      <c r="C37" s="1" t="s">
        <v>122</v>
      </c>
      <c r="D37" s="1" t="s">
        <v>119</v>
      </c>
      <c r="E37" s="1" t="s">
        <v>120</v>
      </c>
      <c r="F37" s="29" t="s">
        <v>39</v>
      </c>
      <c r="G37" s="11">
        <v>2023</v>
      </c>
      <c r="H37" s="16">
        <v>45230</v>
      </c>
      <c r="I37" s="16">
        <v>45596</v>
      </c>
      <c r="J37" s="11">
        <v>2976</v>
      </c>
      <c r="K37" s="12" t="s">
        <v>116</v>
      </c>
      <c r="L37" s="16">
        <v>45438</v>
      </c>
      <c r="M37" s="12" t="s">
        <v>41</v>
      </c>
      <c r="N37" s="11" t="s">
        <v>42</v>
      </c>
      <c r="O37" s="25">
        <v>1257755.55</v>
      </c>
      <c r="P37" s="2">
        <v>15</v>
      </c>
      <c r="Q37" s="25">
        <v>188663.33249999999</v>
      </c>
      <c r="R37" s="25">
        <v>694729.18170507799</v>
      </c>
      <c r="S37" s="25">
        <v>0</v>
      </c>
      <c r="T37" s="25">
        <v>557237</v>
      </c>
      <c r="U37" s="25">
        <v>5789.3682949220529</v>
      </c>
      <c r="V37" s="13">
        <v>111447</v>
      </c>
      <c r="W37" s="13">
        <v>0</v>
      </c>
      <c r="X37" s="13">
        <f t="shared" si="0"/>
        <v>0</v>
      </c>
      <c r="Y37" s="13"/>
      <c r="Z37" s="31"/>
      <c r="AA37" s="27"/>
    </row>
    <row r="38" spans="2:27">
      <c r="B38" s="11">
        <v>28</v>
      </c>
      <c r="C38" s="1" t="s">
        <v>123</v>
      </c>
      <c r="D38" s="1" t="s">
        <v>124</v>
      </c>
      <c r="E38" s="1" t="s">
        <v>125</v>
      </c>
      <c r="F38" s="29" t="s">
        <v>39</v>
      </c>
      <c r="G38" s="11">
        <v>2023</v>
      </c>
      <c r="H38" s="16">
        <v>45291</v>
      </c>
      <c r="I38" s="16">
        <v>45657</v>
      </c>
      <c r="J38" s="11">
        <v>2975</v>
      </c>
      <c r="K38" s="12" t="s">
        <v>126</v>
      </c>
      <c r="L38" s="16">
        <v>45587</v>
      </c>
      <c r="M38" s="12" t="s">
        <v>41</v>
      </c>
      <c r="N38" s="11" t="s">
        <v>42</v>
      </c>
      <c r="O38" s="25">
        <v>1787000</v>
      </c>
      <c r="P38" s="2">
        <v>10</v>
      </c>
      <c r="Q38" s="25">
        <v>178700</v>
      </c>
      <c r="R38" s="25">
        <v>536100</v>
      </c>
      <c r="S38" s="25">
        <v>0</v>
      </c>
      <c r="T38" s="25">
        <v>1250006</v>
      </c>
      <c r="U38" s="25">
        <v>894</v>
      </c>
      <c r="V38" s="13">
        <v>250001</v>
      </c>
      <c r="W38" s="13">
        <v>0</v>
      </c>
      <c r="X38" s="13">
        <f t="shared" si="0"/>
        <v>0</v>
      </c>
      <c r="Y38" s="13"/>
      <c r="Z38" s="31"/>
      <c r="AA38" s="27"/>
    </row>
    <row r="39" spans="2:27">
      <c r="B39" s="11">
        <v>29</v>
      </c>
      <c r="C39" s="1" t="s">
        <v>127</v>
      </c>
      <c r="D39" s="1" t="s">
        <v>128</v>
      </c>
      <c r="E39" s="1" t="s">
        <v>129</v>
      </c>
      <c r="F39" s="29" t="s">
        <v>39</v>
      </c>
      <c r="G39" s="11">
        <v>2023</v>
      </c>
      <c r="H39" s="16">
        <v>45291</v>
      </c>
      <c r="I39" s="16">
        <v>45657</v>
      </c>
      <c r="J39" s="11">
        <v>2975</v>
      </c>
      <c r="K39" s="12" t="s">
        <v>96</v>
      </c>
      <c r="L39" s="16">
        <v>45351</v>
      </c>
      <c r="M39" s="12" t="s">
        <v>41</v>
      </c>
      <c r="N39" s="11" t="s">
        <v>42</v>
      </c>
      <c r="O39" s="25">
        <v>1693288</v>
      </c>
      <c r="P39" s="2">
        <v>10</v>
      </c>
      <c r="Q39" s="25">
        <v>169328.80000000002</v>
      </c>
      <c r="R39" s="25">
        <v>204680.24766555001</v>
      </c>
      <c r="S39" s="25">
        <v>0</v>
      </c>
      <c r="T39" s="25">
        <v>1488346</v>
      </c>
      <c r="U39" s="25">
        <v>261.7523344499059</v>
      </c>
      <c r="V39" s="13">
        <v>297669</v>
      </c>
      <c r="W39" s="13">
        <v>0</v>
      </c>
      <c r="X39" s="13">
        <f t="shared" si="0"/>
        <v>0</v>
      </c>
      <c r="Y39" s="13"/>
      <c r="Z39" s="31"/>
      <c r="AA39" s="27"/>
    </row>
    <row r="40" spans="2:27">
      <c r="B40" s="11">
        <v>30</v>
      </c>
      <c r="C40" s="1" t="s">
        <v>130</v>
      </c>
      <c r="D40" s="1" t="s">
        <v>131</v>
      </c>
      <c r="E40" s="1" t="s">
        <v>132</v>
      </c>
      <c r="F40" s="29" t="s">
        <v>39</v>
      </c>
      <c r="G40" s="11">
        <v>2023</v>
      </c>
      <c r="H40" s="16">
        <v>45291</v>
      </c>
      <c r="I40" s="16">
        <v>45657</v>
      </c>
      <c r="J40" s="11">
        <v>2971</v>
      </c>
      <c r="K40" s="12" t="s">
        <v>133</v>
      </c>
      <c r="L40" s="16">
        <v>45463</v>
      </c>
      <c r="M40" s="12" t="s">
        <v>41</v>
      </c>
      <c r="N40" s="11" t="s">
        <v>42</v>
      </c>
      <c r="O40" s="25">
        <v>2698000</v>
      </c>
      <c r="P40" s="2">
        <v>20</v>
      </c>
      <c r="Q40" s="25">
        <v>539600</v>
      </c>
      <c r="R40" s="25">
        <v>757897.31621823995</v>
      </c>
      <c r="S40" s="25">
        <v>0</v>
      </c>
      <c r="T40" s="25">
        <v>1938208</v>
      </c>
      <c r="U40" s="25">
        <v>1894.6837817600463</v>
      </c>
      <c r="V40" s="13">
        <v>387642</v>
      </c>
      <c r="W40" s="13">
        <v>0</v>
      </c>
      <c r="X40" s="13">
        <f t="shared" si="0"/>
        <v>0</v>
      </c>
      <c r="Y40" s="13"/>
      <c r="Z40" s="31"/>
      <c r="AA40" s="27"/>
    </row>
    <row r="41" spans="2:27">
      <c r="B41" s="11">
        <v>31</v>
      </c>
      <c r="C41" s="1" t="s">
        <v>134</v>
      </c>
      <c r="D41" s="1" t="s">
        <v>135</v>
      </c>
      <c r="E41" s="1" t="s">
        <v>136</v>
      </c>
      <c r="F41" s="29" t="s">
        <v>39</v>
      </c>
      <c r="G41" s="11">
        <v>2023</v>
      </c>
      <c r="H41" s="16">
        <v>45291</v>
      </c>
      <c r="I41" s="16">
        <v>45657</v>
      </c>
      <c r="J41" s="11">
        <v>23002</v>
      </c>
      <c r="K41" s="12" t="s">
        <v>137</v>
      </c>
      <c r="L41" s="16">
        <v>45424</v>
      </c>
      <c r="M41" s="12" t="s">
        <v>41</v>
      </c>
      <c r="N41" s="11" t="s">
        <v>42</v>
      </c>
      <c r="O41" s="25">
        <v>16118880.6</v>
      </c>
      <c r="P41" s="2">
        <v>20</v>
      </c>
      <c r="Q41" s="25">
        <v>3223776.12</v>
      </c>
      <c r="R41" s="25">
        <v>8095297.3613688201</v>
      </c>
      <c r="S41" s="25">
        <v>0</v>
      </c>
      <c r="T41" s="25">
        <v>2073628</v>
      </c>
      <c r="U41" s="25">
        <v>5949955.2386311796</v>
      </c>
      <c r="V41" s="13">
        <v>414725</v>
      </c>
      <c r="W41" s="13">
        <v>0</v>
      </c>
      <c r="X41" s="13">
        <f t="shared" si="0"/>
        <v>0</v>
      </c>
      <c r="Y41" s="13"/>
      <c r="Z41" s="31"/>
      <c r="AA41" s="27"/>
    </row>
    <row r="42" spans="2:27">
      <c r="B42" s="11">
        <v>32</v>
      </c>
      <c r="C42" s="1" t="s">
        <v>138</v>
      </c>
      <c r="D42" s="1" t="s">
        <v>135</v>
      </c>
      <c r="E42" s="1" t="s">
        <v>136</v>
      </c>
      <c r="F42" s="29" t="s">
        <v>39</v>
      </c>
      <c r="G42" s="11">
        <v>2023</v>
      </c>
      <c r="H42" s="16">
        <v>45291</v>
      </c>
      <c r="I42" s="16">
        <v>45657</v>
      </c>
      <c r="J42" s="11">
        <v>23002</v>
      </c>
      <c r="K42" s="12" t="s">
        <v>137</v>
      </c>
      <c r="L42" s="16">
        <v>45521</v>
      </c>
      <c r="M42" s="12" t="s">
        <v>41</v>
      </c>
      <c r="N42" s="11" t="s">
        <v>42</v>
      </c>
      <c r="O42" s="25">
        <v>16118880.6</v>
      </c>
      <c r="P42" s="2">
        <v>20</v>
      </c>
      <c r="Q42" s="25">
        <v>3223776.12</v>
      </c>
      <c r="R42" s="25">
        <v>8095297.3613688201</v>
      </c>
      <c r="S42" s="25">
        <v>0</v>
      </c>
      <c r="T42" s="25">
        <v>5929718</v>
      </c>
      <c r="U42" s="25">
        <v>2093865.2386311796</v>
      </c>
      <c r="V42" s="13">
        <v>1185943</v>
      </c>
      <c r="W42" s="13">
        <v>0</v>
      </c>
      <c r="X42" s="13">
        <f t="shared" si="0"/>
        <v>0</v>
      </c>
      <c r="Y42" s="13"/>
      <c r="Z42" s="31"/>
      <c r="AA42" s="27"/>
    </row>
    <row r="43" spans="2:27">
      <c r="B43" s="11">
        <v>33</v>
      </c>
      <c r="C43" s="1" t="s">
        <v>139</v>
      </c>
      <c r="D43" s="1" t="s">
        <v>140</v>
      </c>
      <c r="E43" s="1" t="s">
        <v>141</v>
      </c>
      <c r="F43" s="29" t="s">
        <v>39</v>
      </c>
      <c r="G43" s="11">
        <v>2023</v>
      </c>
      <c r="H43" s="16">
        <v>45291</v>
      </c>
      <c r="I43" s="16">
        <v>45657</v>
      </c>
      <c r="J43" s="11">
        <v>29371</v>
      </c>
      <c r="K43" s="12" t="s">
        <v>142</v>
      </c>
      <c r="L43" s="16">
        <v>45609</v>
      </c>
      <c r="M43" s="12" t="s">
        <v>41</v>
      </c>
      <c r="N43" s="11" t="s">
        <v>42</v>
      </c>
      <c r="O43" s="25">
        <v>3266000</v>
      </c>
      <c r="P43" s="2">
        <v>20</v>
      </c>
      <c r="Q43" s="25">
        <v>653200</v>
      </c>
      <c r="R43" s="25">
        <v>1256153.84615385</v>
      </c>
      <c r="S43" s="25">
        <v>0</v>
      </c>
      <c r="T43" s="25">
        <v>2006705</v>
      </c>
      <c r="U43" s="25">
        <v>3141.1538461500313</v>
      </c>
      <c r="V43" s="13">
        <v>401341</v>
      </c>
      <c r="W43" s="13">
        <v>0</v>
      </c>
      <c r="X43" s="13">
        <f t="shared" ref="X43:X67" si="1">W43*20%</f>
        <v>0</v>
      </c>
      <c r="Y43" s="13"/>
      <c r="Z43" s="31"/>
      <c r="AA43" s="27"/>
    </row>
    <row r="44" spans="2:27">
      <c r="B44" s="11">
        <v>34</v>
      </c>
      <c r="C44" s="1" t="s">
        <v>143</v>
      </c>
      <c r="D44" s="1" t="s">
        <v>144</v>
      </c>
      <c r="E44" s="1" t="s">
        <v>145</v>
      </c>
      <c r="F44" s="29" t="s">
        <v>39</v>
      </c>
      <c r="G44" s="11">
        <v>2023</v>
      </c>
      <c r="H44" s="16">
        <v>45291</v>
      </c>
      <c r="I44" s="16">
        <v>45657</v>
      </c>
      <c r="J44" s="11">
        <v>23002</v>
      </c>
      <c r="K44" s="12" t="s">
        <v>137</v>
      </c>
      <c r="L44" s="16">
        <v>45645</v>
      </c>
      <c r="M44" s="12" t="s">
        <v>41</v>
      </c>
      <c r="N44" s="11" t="s">
        <v>42</v>
      </c>
      <c r="O44" s="25">
        <v>1980000</v>
      </c>
      <c r="P44" s="2">
        <v>20</v>
      </c>
      <c r="Q44" s="25">
        <v>396000</v>
      </c>
      <c r="R44" s="25">
        <v>1126453.7493664599</v>
      </c>
      <c r="S44" s="25">
        <v>0</v>
      </c>
      <c r="T44" s="25">
        <v>850731</v>
      </c>
      <c r="U44" s="25">
        <v>2815.2506335400976</v>
      </c>
      <c r="V44" s="13">
        <v>170146</v>
      </c>
      <c r="W44" s="13">
        <v>0</v>
      </c>
      <c r="X44" s="13">
        <f t="shared" si="1"/>
        <v>0</v>
      </c>
      <c r="Y44" s="13"/>
      <c r="Z44" s="31"/>
      <c r="AA44" s="27"/>
    </row>
    <row r="45" spans="2:27">
      <c r="B45" s="11">
        <v>35</v>
      </c>
      <c r="C45" s="1" t="s">
        <v>146</v>
      </c>
      <c r="D45" s="1" t="s">
        <v>147</v>
      </c>
      <c r="E45" s="1" t="s">
        <v>148</v>
      </c>
      <c r="F45" s="29" t="s">
        <v>39</v>
      </c>
      <c r="G45" s="11">
        <v>2023</v>
      </c>
      <c r="H45" s="16">
        <v>45291</v>
      </c>
      <c r="I45" s="16">
        <v>45657</v>
      </c>
      <c r="J45" s="11">
        <v>2975</v>
      </c>
      <c r="K45" s="12" t="s">
        <v>149</v>
      </c>
      <c r="L45" s="16">
        <v>45363</v>
      </c>
      <c r="M45" s="12" t="s">
        <v>41</v>
      </c>
      <c r="N45" s="11" t="s">
        <v>42</v>
      </c>
      <c r="O45" s="25">
        <v>36040354.600000001</v>
      </c>
      <c r="P45" s="2">
        <v>10</v>
      </c>
      <c r="Q45" s="25">
        <v>3604035.4600000004</v>
      </c>
      <c r="R45" s="25">
        <v>13185495.585365901</v>
      </c>
      <c r="S45" s="25">
        <v>0</v>
      </c>
      <c r="T45" s="25">
        <v>2751609</v>
      </c>
      <c r="U45" s="25">
        <v>20103250.014634103</v>
      </c>
      <c r="V45" s="13">
        <v>550322</v>
      </c>
      <c r="W45" s="13">
        <v>0</v>
      </c>
      <c r="X45" s="13">
        <f t="shared" si="1"/>
        <v>0</v>
      </c>
      <c r="Y45" s="13"/>
      <c r="Z45" s="31"/>
      <c r="AA45" s="27"/>
    </row>
    <row r="46" spans="2:27">
      <c r="B46" s="11">
        <v>36</v>
      </c>
      <c r="C46" s="1" t="s">
        <v>150</v>
      </c>
      <c r="D46" s="1" t="s">
        <v>147</v>
      </c>
      <c r="E46" s="1" t="s">
        <v>148</v>
      </c>
      <c r="F46" s="29" t="s">
        <v>39</v>
      </c>
      <c r="G46" s="11">
        <v>2023</v>
      </c>
      <c r="H46" s="16">
        <v>45291</v>
      </c>
      <c r="I46" s="16">
        <v>45657</v>
      </c>
      <c r="J46" s="11">
        <v>2975</v>
      </c>
      <c r="K46" s="12" t="s">
        <v>149</v>
      </c>
      <c r="L46" s="16">
        <v>45476</v>
      </c>
      <c r="M46" s="12" t="s">
        <v>41</v>
      </c>
      <c r="N46" s="11" t="s">
        <v>42</v>
      </c>
      <c r="O46" s="25">
        <v>36040354.600000001</v>
      </c>
      <c r="P46" s="2">
        <v>10</v>
      </c>
      <c r="Q46" s="25">
        <v>3604035.4600000004</v>
      </c>
      <c r="R46" s="25">
        <v>13185495.585365901</v>
      </c>
      <c r="S46" s="25">
        <v>0</v>
      </c>
      <c r="T46" s="25">
        <v>20081273</v>
      </c>
      <c r="U46" s="25">
        <v>2773586.0146341026</v>
      </c>
      <c r="V46" s="13">
        <v>4016255</v>
      </c>
      <c r="W46" s="13">
        <v>0</v>
      </c>
      <c r="X46" s="13">
        <f t="shared" si="1"/>
        <v>0</v>
      </c>
      <c r="Y46" s="13"/>
      <c r="Z46" s="31"/>
      <c r="AA46" s="27"/>
    </row>
    <row r="47" spans="2:27">
      <c r="B47" s="11">
        <v>37</v>
      </c>
      <c r="C47" s="1" t="s">
        <v>151</v>
      </c>
      <c r="D47" s="1" t="s">
        <v>152</v>
      </c>
      <c r="E47" s="1" t="s">
        <v>153</v>
      </c>
      <c r="F47" s="29" t="s">
        <v>39</v>
      </c>
      <c r="G47" s="11">
        <v>2023</v>
      </c>
      <c r="H47" s="16">
        <v>45291</v>
      </c>
      <c r="I47" s="16">
        <v>45657</v>
      </c>
      <c r="J47" s="11" t="s">
        <v>154</v>
      </c>
      <c r="K47" s="12" t="s">
        <v>155</v>
      </c>
      <c r="L47" s="16">
        <v>45632</v>
      </c>
      <c r="M47" s="12" t="s">
        <v>41</v>
      </c>
      <c r="N47" s="11" t="s">
        <v>42</v>
      </c>
      <c r="O47" s="25">
        <v>3060130</v>
      </c>
      <c r="P47" s="2">
        <v>10</v>
      </c>
      <c r="Q47" s="25">
        <v>306013</v>
      </c>
      <c r="R47" s="25">
        <v>1382756.33761815</v>
      </c>
      <c r="S47" s="25">
        <v>0</v>
      </c>
      <c r="T47" s="25">
        <v>1675068</v>
      </c>
      <c r="U47" s="25">
        <v>2305.6623818499502</v>
      </c>
      <c r="V47" s="13">
        <v>335014</v>
      </c>
      <c r="W47" s="13">
        <v>0</v>
      </c>
      <c r="X47" s="13">
        <f t="shared" si="1"/>
        <v>0</v>
      </c>
      <c r="Y47" s="13"/>
      <c r="Z47" s="31"/>
      <c r="AA47" s="27"/>
    </row>
    <row r="48" spans="2:27">
      <c r="B48" s="11">
        <v>38</v>
      </c>
      <c r="C48" s="1" t="s">
        <v>156</v>
      </c>
      <c r="D48" s="1" t="s">
        <v>157</v>
      </c>
      <c r="E48" s="1" t="s">
        <v>158</v>
      </c>
      <c r="F48" s="29" t="s">
        <v>39</v>
      </c>
      <c r="G48" s="11">
        <v>2023</v>
      </c>
      <c r="H48" s="16">
        <v>45291</v>
      </c>
      <c r="I48" s="16">
        <v>45657</v>
      </c>
      <c r="J48" s="11">
        <v>23002</v>
      </c>
      <c r="K48" s="12" t="s">
        <v>159</v>
      </c>
      <c r="L48" s="16">
        <v>45448</v>
      </c>
      <c r="M48" s="12" t="s">
        <v>41</v>
      </c>
      <c r="N48" s="11" t="s">
        <v>42</v>
      </c>
      <c r="O48" s="25">
        <v>2608151</v>
      </c>
      <c r="P48" s="2">
        <v>20</v>
      </c>
      <c r="Q48" s="25">
        <v>521630.2</v>
      </c>
      <c r="R48" s="25">
        <v>870607.53919128596</v>
      </c>
      <c r="S48" s="25">
        <v>0</v>
      </c>
      <c r="T48" s="25">
        <v>1735366</v>
      </c>
      <c r="U48" s="25">
        <v>2177.4608087139204</v>
      </c>
      <c r="V48" s="13">
        <v>347073</v>
      </c>
      <c r="W48" s="13">
        <v>0</v>
      </c>
      <c r="X48" s="13">
        <f t="shared" si="1"/>
        <v>0</v>
      </c>
      <c r="Y48" s="13"/>
      <c r="Z48" s="31"/>
      <c r="AA48" s="27"/>
    </row>
    <row r="49" spans="2:27">
      <c r="B49" s="11">
        <v>39</v>
      </c>
      <c r="C49" s="1" t="s">
        <v>160</v>
      </c>
      <c r="D49" s="1" t="s">
        <v>161</v>
      </c>
      <c r="E49" s="1" t="s">
        <v>162</v>
      </c>
      <c r="F49" s="29" t="s">
        <v>39</v>
      </c>
      <c r="G49" s="11">
        <v>2023</v>
      </c>
      <c r="H49" s="16">
        <v>45291</v>
      </c>
      <c r="I49" s="16">
        <v>45657</v>
      </c>
      <c r="J49" s="11">
        <v>2975</v>
      </c>
      <c r="K49" s="12" t="s">
        <v>96</v>
      </c>
      <c r="L49" s="16">
        <v>45580</v>
      </c>
      <c r="M49" s="12" t="s">
        <v>41</v>
      </c>
      <c r="N49" s="11" t="s">
        <v>42</v>
      </c>
      <c r="O49" s="25">
        <v>1172500</v>
      </c>
      <c r="P49" s="2">
        <v>10</v>
      </c>
      <c r="Q49" s="25">
        <v>117250</v>
      </c>
      <c r="R49" s="25">
        <v>1116666.66666667</v>
      </c>
      <c r="S49" s="25">
        <v>0</v>
      </c>
      <c r="T49" s="25">
        <v>53971</v>
      </c>
      <c r="U49" s="25">
        <v>1862.3333333299961</v>
      </c>
      <c r="V49" s="13">
        <v>10794</v>
      </c>
      <c r="W49" s="13">
        <v>0</v>
      </c>
      <c r="X49" s="13">
        <f t="shared" si="1"/>
        <v>0</v>
      </c>
      <c r="Y49" s="13"/>
      <c r="Z49" s="31"/>
      <c r="AA49" s="27"/>
    </row>
    <row r="50" spans="2:27">
      <c r="B50" s="11">
        <v>40</v>
      </c>
      <c r="C50" s="1" t="s">
        <v>163</v>
      </c>
      <c r="D50" s="1" t="s">
        <v>164</v>
      </c>
      <c r="E50" s="1" t="s">
        <v>165</v>
      </c>
      <c r="F50" s="29" t="s">
        <v>39</v>
      </c>
      <c r="G50" s="11">
        <v>2023</v>
      </c>
      <c r="H50" s="16">
        <v>45288</v>
      </c>
      <c r="I50" s="16">
        <v>45654</v>
      </c>
      <c r="J50" s="11">
        <v>2512</v>
      </c>
      <c r="K50" s="12" t="s">
        <v>166</v>
      </c>
      <c r="L50" s="16">
        <v>45601</v>
      </c>
      <c r="M50" s="12" t="s">
        <v>41</v>
      </c>
      <c r="N50" s="11" t="s">
        <v>42</v>
      </c>
      <c r="O50" s="28">
        <v>159630666.96000001</v>
      </c>
      <c r="P50" s="2">
        <v>12</v>
      </c>
      <c r="Q50" s="25">
        <v>19155680.0352</v>
      </c>
      <c r="R50" s="28">
        <v>93900392.3294117</v>
      </c>
      <c r="S50" s="28">
        <v>0</v>
      </c>
      <c r="T50" s="28">
        <v>65542473</v>
      </c>
      <c r="U50" s="25">
        <v>187801.63058830798</v>
      </c>
      <c r="V50" s="18">
        <v>13108495</v>
      </c>
      <c r="W50" s="13">
        <v>1432592.28</v>
      </c>
      <c r="X50" s="13">
        <f t="shared" si="1"/>
        <v>286518.45600000001</v>
      </c>
      <c r="Y50" s="13"/>
      <c r="Z50" s="31"/>
      <c r="AA50" s="27"/>
    </row>
    <row r="51" spans="2:27">
      <c r="B51" s="11">
        <v>41</v>
      </c>
      <c r="C51" s="1" t="s">
        <v>167</v>
      </c>
      <c r="D51" s="1" t="s">
        <v>168</v>
      </c>
      <c r="E51" s="1" t="s">
        <v>169</v>
      </c>
      <c r="F51" s="29" t="s">
        <v>39</v>
      </c>
      <c r="G51" s="11">
        <v>2023</v>
      </c>
      <c r="H51" s="16">
        <v>45291</v>
      </c>
      <c r="I51" s="16">
        <v>45657</v>
      </c>
      <c r="J51" s="11">
        <v>23002</v>
      </c>
      <c r="K51" s="12" t="s">
        <v>170</v>
      </c>
      <c r="L51" s="16">
        <v>45629</v>
      </c>
      <c r="M51" s="12" t="s">
        <v>41</v>
      </c>
      <c r="N51" s="11" t="s">
        <v>42</v>
      </c>
      <c r="O51" s="25">
        <v>5034281.72</v>
      </c>
      <c r="P51" s="2">
        <v>20</v>
      </c>
      <c r="Q51" s="25">
        <v>1006856.344</v>
      </c>
      <c r="R51" s="25">
        <v>836900.72143321997</v>
      </c>
      <c r="S51" s="25">
        <v>0</v>
      </c>
      <c r="T51" s="25">
        <v>1174182</v>
      </c>
      <c r="U51" s="25">
        <v>3023198.9985667802</v>
      </c>
      <c r="V51" s="13">
        <v>604221</v>
      </c>
      <c r="W51" s="13">
        <v>0</v>
      </c>
      <c r="X51" s="13">
        <f t="shared" si="1"/>
        <v>0</v>
      </c>
      <c r="Y51" s="13"/>
      <c r="Z51" s="31"/>
      <c r="AA51" s="27"/>
    </row>
    <row r="52" spans="2:27">
      <c r="B52" s="11">
        <v>42</v>
      </c>
      <c r="C52" s="1" t="s">
        <v>167</v>
      </c>
      <c r="D52" s="1" t="s">
        <v>168</v>
      </c>
      <c r="E52" s="1" t="s">
        <v>169</v>
      </c>
      <c r="F52" s="29" t="s">
        <v>39</v>
      </c>
      <c r="G52" s="11">
        <v>2023</v>
      </c>
      <c r="H52" s="16">
        <v>45291</v>
      </c>
      <c r="I52" s="16">
        <v>45657</v>
      </c>
      <c r="J52" s="11">
        <v>23002</v>
      </c>
      <c r="K52" s="12" t="s">
        <v>170</v>
      </c>
      <c r="L52" s="16">
        <v>45599</v>
      </c>
      <c r="M52" s="12" t="s">
        <v>41</v>
      </c>
      <c r="N52" s="11" t="s">
        <v>42</v>
      </c>
      <c r="O52" s="25">
        <v>5034281.72</v>
      </c>
      <c r="P52" s="2">
        <v>20</v>
      </c>
      <c r="Q52" s="25">
        <v>1006856.344</v>
      </c>
      <c r="R52" s="25">
        <v>836900.72143321997</v>
      </c>
      <c r="S52" s="25">
        <v>0</v>
      </c>
      <c r="T52" s="25">
        <v>3021106</v>
      </c>
      <c r="U52" s="25">
        <v>1176274.9985667802</v>
      </c>
      <c r="V52" s="13">
        <v>234836</v>
      </c>
      <c r="W52" s="13">
        <v>0</v>
      </c>
      <c r="X52" s="13">
        <f t="shared" si="1"/>
        <v>0</v>
      </c>
      <c r="Y52" s="13"/>
      <c r="Z52" s="31"/>
      <c r="AA52" s="27"/>
    </row>
    <row r="53" spans="2:27">
      <c r="B53" s="11">
        <v>43</v>
      </c>
      <c r="C53" s="1" t="s">
        <v>171</v>
      </c>
      <c r="D53" s="1" t="s">
        <v>172</v>
      </c>
      <c r="E53" s="1" t="s">
        <v>173</v>
      </c>
      <c r="F53" s="29" t="s">
        <v>39</v>
      </c>
      <c r="G53" s="11">
        <v>2023</v>
      </c>
      <c r="H53" s="16">
        <v>45199</v>
      </c>
      <c r="I53" s="16">
        <v>45565</v>
      </c>
      <c r="J53" s="11">
        <v>2433</v>
      </c>
      <c r="K53" s="12" t="s">
        <v>174</v>
      </c>
      <c r="L53" s="16">
        <v>45343</v>
      </c>
      <c r="M53" s="12" t="s">
        <v>41</v>
      </c>
      <c r="N53" s="11" t="s">
        <v>60</v>
      </c>
      <c r="O53" s="25">
        <v>175194.90669999999</v>
      </c>
      <c r="P53" s="2">
        <v>4.55</v>
      </c>
      <c r="Q53" s="25">
        <v>7971.3682548499992</v>
      </c>
      <c r="R53" s="25">
        <v>11729.49</v>
      </c>
      <c r="S53" s="25">
        <v>0</v>
      </c>
      <c r="T53" s="25">
        <v>144392.73000000001</v>
      </c>
      <c r="U53" s="25">
        <v>19072.686699999991</v>
      </c>
      <c r="V53" s="13">
        <v>28878.55</v>
      </c>
      <c r="W53" s="13">
        <v>5024027206.45508</v>
      </c>
      <c r="X53" s="13">
        <f t="shared" si="1"/>
        <v>1004805441.2910161</v>
      </c>
      <c r="Y53" s="13"/>
      <c r="Z53" s="31"/>
      <c r="AA53" s="27"/>
    </row>
    <row r="54" spans="2:27">
      <c r="B54" s="11">
        <v>44</v>
      </c>
      <c r="C54" s="1" t="s">
        <v>175</v>
      </c>
      <c r="D54" s="1" t="s">
        <v>176</v>
      </c>
      <c r="E54" s="1" t="s">
        <v>177</v>
      </c>
      <c r="F54" s="29" t="s">
        <v>39</v>
      </c>
      <c r="G54" s="11">
        <v>2023</v>
      </c>
      <c r="H54" s="16">
        <v>45291</v>
      </c>
      <c r="I54" s="16">
        <v>45657</v>
      </c>
      <c r="J54" s="11">
        <v>2742</v>
      </c>
      <c r="K54" s="12" t="s">
        <v>178</v>
      </c>
      <c r="L54" s="16">
        <v>45353</v>
      </c>
      <c r="M54" s="12" t="s">
        <v>41</v>
      </c>
      <c r="N54" s="11" t="s">
        <v>42</v>
      </c>
      <c r="O54" s="25">
        <v>131236286.09999999</v>
      </c>
      <c r="P54" s="2">
        <v>7.5</v>
      </c>
      <c r="Q54" s="25">
        <v>9842721.4574999996</v>
      </c>
      <c r="R54" s="25">
        <v>96842479.006157205</v>
      </c>
      <c r="S54" s="25">
        <v>0</v>
      </c>
      <c r="T54" s="25">
        <v>34272753</v>
      </c>
      <c r="U54" s="25">
        <v>121054.09384278953</v>
      </c>
      <c r="V54" s="13">
        <v>6854550</v>
      </c>
      <c r="W54" s="13">
        <v>0</v>
      </c>
      <c r="X54" s="13">
        <f t="shared" si="1"/>
        <v>0</v>
      </c>
      <c r="Y54" s="13"/>
      <c r="Z54" s="31"/>
      <c r="AA54" s="27"/>
    </row>
    <row r="55" spans="2:27">
      <c r="B55" s="11">
        <v>45</v>
      </c>
      <c r="C55" s="1" t="s">
        <v>179</v>
      </c>
      <c r="D55" s="1" t="s">
        <v>180</v>
      </c>
      <c r="E55" s="1" t="s">
        <v>181</v>
      </c>
      <c r="F55" s="29" t="s">
        <v>39</v>
      </c>
      <c r="G55" s="11">
        <v>2023</v>
      </c>
      <c r="H55" s="16">
        <v>45291</v>
      </c>
      <c r="I55" s="16">
        <v>45657</v>
      </c>
      <c r="J55" s="11">
        <v>2742</v>
      </c>
      <c r="K55" s="12" t="s">
        <v>182</v>
      </c>
      <c r="L55" s="16">
        <v>45519</v>
      </c>
      <c r="M55" s="12" t="s">
        <v>41</v>
      </c>
      <c r="N55" s="11" t="s">
        <v>42</v>
      </c>
      <c r="O55" s="25">
        <v>6000000</v>
      </c>
      <c r="P55" s="2">
        <v>7.5</v>
      </c>
      <c r="Q55" s="25">
        <v>450000</v>
      </c>
      <c r="R55" s="25">
        <v>2894334.7968907799</v>
      </c>
      <c r="S55" s="25">
        <v>0</v>
      </c>
      <c r="T55" s="25">
        <v>3102047</v>
      </c>
      <c r="U55" s="25">
        <v>3618.203109220136</v>
      </c>
      <c r="V55" s="13">
        <v>620409</v>
      </c>
      <c r="W55" s="13">
        <v>0</v>
      </c>
      <c r="X55" s="13">
        <f t="shared" si="1"/>
        <v>0</v>
      </c>
      <c r="Y55" s="13"/>
      <c r="Z55" s="31"/>
      <c r="AA55" s="27"/>
    </row>
    <row r="56" spans="2:27">
      <c r="B56" s="11">
        <v>46</v>
      </c>
      <c r="C56" s="1" t="s">
        <v>183</v>
      </c>
      <c r="D56" s="1" t="s">
        <v>184</v>
      </c>
      <c r="E56" s="1" t="s">
        <v>185</v>
      </c>
      <c r="F56" s="29" t="s">
        <v>39</v>
      </c>
      <c r="G56" s="11">
        <v>2023</v>
      </c>
      <c r="H56" s="16">
        <v>45291</v>
      </c>
      <c r="I56" s="16">
        <v>45657</v>
      </c>
      <c r="J56" s="11">
        <v>2742</v>
      </c>
      <c r="K56" s="12" t="s">
        <v>182</v>
      </c>
      <c r="L56" s="16">
        <v>45351</v>
      </c>
      <c r="M56" s="12" t="s">
        <v>41</v>
      </c>
      <c r="N56" s="11" t="s">
        <v>42</v>
      </c>
      <c r="O56" s="28">
        <v>12811125</v>
      </c>
      <c r="P56" s="2">
        <v>7.5</v>
      </c>
      <c r="Q56" s="25">
        <v>960834.375</v>
      </c>
      <c r="R56" s="28">
        <v>8685508.4745762907</v>
      </c>
      <c r="S56" s="28">
        <v>0</v>
      </c>
      <c r="T56" s="28">
        <v>3685615</v>
      </c>
      <c r="U56" s="25">
        <v>440001.5254237093</v>
      </c>
      <c r="V56" s="18">
        <v>737122</v>
      </c>
      <c r="W56" s="13">
        <v>0</v>
      </c>
      <c r="X56" s="13">
        <f t="shared" si="1"/>
        <v>0</v>
      </c>
      <c r="Y56" s="13"/>
      <c r="Z56" s="31"/>
      <c r="AA56" s="27"/>
    </row>
    <row r="57" spans="2:27">
      <c r="B57" s="11">
        <v>47</v>
      </c>
      <c r="C57" s="1" t="s">
        <v>186</v>
      </c>
      <c r="D57" s="1" t="s">
        <v>184</v>
      </c>
      <c r="E57" s="1" t="s">
        <v>185</v>
      </c>
      <c r="F57" s="29" t="s">
        <v>39</v>
      </c>
      <c r="G57" s="11">
        <v>2023</v>
      </c>
      <c r="H57" s="16">
        <v>45291</v>
      </c>
      <c r="I57" s="16">
        <v>45657</v>
      </c>
      <c r="J57" s="11">
        <v>2742</v>
      </c>
      <c r="K57" s="12" t="s">
        <v>182</v>
      </c>
      <c r="L57" s="16">
        <v>45366</v>
      </c>
      <c r="M57" s="12" t="s">
        <v>41</v>
      </c>
      <c r="N57" s="11" t="s">
        <v>42</v>
      </c>
      <c r="O57" s="28">
        <v>12811125</v>
      </c>
      <c r="P57" s="2">
        <v>7.5</v>
      </c>
      <c r="Q57" s="25">
        <v>960834.375</v>
      </c>
      <c r="R57" s="28">
        <v>8685508.4745762907</v>
      </c>
      <c r="S57" s="28">
        <v>0</v>
      </c>
      <c r="T57" s="28">
        <v>429145</v>
      </c>
      <c r="U57" s="25">
        <v>3696471.5254237093</v>
      </c>
      <c r="V57" s="18">
        <v>85829</v>
      </c>
      <c r="W57" s="13">
        <v>0</v>
      </c>
      <c r="X57" s="13">
        <f t="shared" si="1"/>
        <v>0</v>
      </c>
      <c r="Y57" s="13"/>
      <c r="Z57" s="31"/>
      <c r="AA57" s="27"/>
    </row>
    <row r="58" spans="2:27">
      <c r="B58" s="11">
        <v>48</v>
      </c>
      <c r="C58" s="1" t="s">
        <v>187</v>
      </c>
      <c r="D58" s="1" t="s">
        <v>188</v>
      </c>
      <c r="E58" s="1" t="s">
        <v>189</v>
      </c>
      <c r="F58" s="29" t="s">
        <v>39</v>
      </c>
      <c r="G58" s="11">
        <v>2023</v>
      </c>
      <c r="H58" s="16">
        <v>44985</v>
      </c>
      <c r="I58" s="16">
        <v>45350</v>
      </c>
      <c r="J58" s="11">
        <v>2975</v>
      </c>
      <c r="K58" s="12" t="s">
        <v>96</v>
      </c>
      <c r="L58" s="16">
        <v>45006</v>
      </c>
      <c r="M58" s="12" t="s">
        <v>190</v>
      </c>
      <c r="N58" s="11" t="s">
        <v>42</v>
      </c>
      <c r="O58" s="25">
        <v>1035995.341</v>
      </c>
      <c r="P58" s="2">
        <v>100</v>
      </c>
      <c r="Q58" s="25">
        <v>1035995.341</v>
      </c>
      <c r="R58" s="25">
        <v>160586.132875551</v>
      </c>
      <c r="S58" s="25">
        <v>0</v>
      </c>
      <c r="T58" s="25">
        <v>875409</v>
      </c>
      <c r="U58" s="25">
        <v>0.20812444901093841</v>
      </c>
      <c r="V58" s="13">
        <v>175082</v>
      </c>
      <c r="W58" s="13">
        <v>0</v>
      </c>
      <c r="X58" s="13">
        <f t="shared" si="1"/>
        <v>0</v>
      </c>
      <c r="Y58" s="13"/>
      <c r="Z58" s="31"/>
      <c r="AA58" s="27"/>
    </row>
    <row r="59" spans="2:27">
      <c r="B59" s="11">
        <v>49</v>
      </c>
      <c r="C59" s="1" t="s">
        <v>191</v>
      </c>
      <c r="D59" s="1" t="s">
        <v>188</v>
      </c>
      <c r="E59" s="1" t="s">
        <v>192</v>
      </c>
      <c r="F59" s="29" t="s">
        <v>39</v>
      </c>
      <c r="G59" s="11">
        <v>2023</v>
      </c>
      <c r="H59" s="16">
        <v>44985</v>
      </c>
      <c r="I59" s="16">
        <v>45350</v>
      </c>
      <c r="J59" s="11">
        <v>2975</v>
      </c>
      <c r="K59" s="12" t="s">
        <v>96</v>
      </c>
      <c r="L59" s="16">
        <v>45344</v>
      </c>
      <c r="M59" s="12" t="s">
        <v>190</v>
      </c>
      <c r="N59" s="11" t="s">
        <v>42</v>
      </c>
      <c r="O59" s="28">
        <v>369158.8</v>
      </c>
      <c r="P59" s="2">
        <v>100</v>
      </c>
      <c r="Q59" s="25">
        <v>369158.8</v>
      </c>
      <c r="R59" s="28">
        <v>87894.9523809526</v>
      </c>
      <c r="S59" s="28">
        <v>0</v>
      </c>
      <c r="T59" s="28">
        <v>281264</v>
      </c>
      <c r="U59" s="25">
        <v>-0.15238095261156559</v>
      </c>
      <c r="V59" s="18">
        <v>56253</v>
      </c>
      <c r="W59" s="13">
        <v>97771.199999999997</v>
      </c>
      <c r="X59" s="13">
        <f t="shared" si="1"/>
        <v>19554.240000000002</v>
      </c>
      <c r="Y59" s="13"/>
      <c r="Z59" s="31"/>
      <c r="AA59" s="27"/>
    </row>
    <row r="60" spans="2:27">
      <c r="B60" s="11">
        <v>50</v>
      </c>
      <c r="C60" s="1" t="s">
        <v>193</v>
      </c>
      <c r="D60" s="1" t="s">
        <v>194</v>
      </c>
      <c r="E60" s="1" t="s">
        <v>195</v>
      </c>
      <c r="F60" s="29" t="s">
        <v>39</v>
      </c>
      <c r="G60" s="11">
        <v>2023</v>
      </c>
      <c r="H60" s="16">
        <v>44985</v>
      </c>
      <c r="I60" s="16">
        <v>45350</v>
      </c>
      <c r="J60" s="11">
        <v>29312</v>
      </c>
      <c r="K60" s="12" t="s">
        <v>196</v>
      </c>
      <c r="L60" s="16">
        <v>45258</v>
      </c>
      <c r="M60" s="12" t="s">
        <v>190</v>
      </c>
      <c r="N60" s="11" t="s">
        <v>42</v>
      </c>
      <c r="O60" s="25">
        <v>259666.85</v>
      </c>
      <c r="P60" s="2">
        <v>100</v>
      </c>
      <c r="Q60" s="25">
        <v>259666.85</v>
      </c>
      <c r="R60" s="25">
        <v>232364.07158821501</v>
      </c>
      <c r="S60" s="25">
        <v>0</v>
      </c>
      <c r="T60" s="25">
        <v>27303</v>
      </c>
      <c r="U60" s="25">
        <v>-0.22158821500488557</v>
      </c>
      <c r="V60" s="13">
        <v>5461</v>
      </c>
      <c r="W60" s="13">
        <v>0</v>
      </c>
      <c r="X60" s="13">
        <f t="shared" si="1"/>
        <v>0</v>
      </c>
      <c r="Y60" s="13"/>
      <c r="Z60" s="31"/>
      <c r="AA60" s="27"/>
    </row>
    <row r="61" spans="2:27">
      <c r="B61" s="11">
        <v>51</v>
      </c>
      <c r="C61" s="1" t="s">
        <v>197</v>
      </c>
      <c r="D61" s="1" t="s">
        <v>198</v>
      </c>
      <c r="E61" s="1" t="s">
        <v>199</v>
      </c>
      <c r="F61" s="29" t="s">
        <v>39</v>
      </c>
      <c r="G61" s="11">
        <v>2023</v>
      </c>
      <c r="H61" s="16">
        <v>45252</v>
      </c>
      <c r="I61" s="16">
        <v>45618</v>
      </c>
      <c r="J61" s="11">
        <v>2929</v>
      </c>
      <c r="K61" s="12" t="s">
        <v>200</v>
      </c>
      <c r="L61" s="16">
        <v>45304</v>
      </c>
      <c r="M61" s="12" t="s">
        <v>190</v>
      </c>
      <c r="N61" s="11" t="s">
        <v>42</v>
      </c>
      <c r="O61" s="25">
        <v>65447247.25</v>
      </c>
      <c r="P61" s="2">
        <v>100</v>
      </c>
      <c r="Q61" s="25">
        <v>65447247.25</v>
      </c>
      <c r="R61" s="25">
        <v>5813233.7813219205</v>
      </c>
      <c r="S61" s="25">
        <v>0</v>
      </c>
      <c r="T61" s="25">
        <v>3016498</v>
      </c>
      <c r="U61" s="25">
        <v>56617515.46867808</v>
      </c>
      <c r="V61" s="13">
        <v>603300</v>
      </c>
      <c r="W61" s="13">
        <v>0</v>
      </c>
      <c r="X61" s="13">
        <f t="shared" si="1"/>
        <v>0</v>
      </c>
      <c r="Y61" s="13"/>
      <c r="Z61" s="31"/>
      <c r="AA61" s="27"/>
    </row>
    <row r="62" spans="2:27">
      <c r="B62" s="11">
        <v>52</v>
      </c>
      <c r="C62" s="1" t="s">
        <v>201</v>
      </c>
      <c r="D62" s="1" t="s">
        <v>198</v>
      </c>
      <c r="E62" s="1" t="s">
        <v>199</v>
      </c>
      <c r="F62" s="29" t="s">
        <v>39</v>
      </c>
      <c r="G62" s="11">
        <v>2023</v>
      </c>
      <c r="H62" s="16">
        <v>45252</v>
      </c>
      <c r="I62" s="16">
        <v>45618</v>
      </c>
      <c r="J62" s="11">
        <v>2929</v>
      </c>
      <c r="K62" s="12" t="s">
        <v>200</v>
      </c>
      <c r="L62" s="16">
        <v>45265</v>
      </c>
      <c r="M62" s="12" t="s">
        <v>190</v>
      </c>
      <c r="N62" s="11" t="s">
        <v>42</v>
      </c>
      <c r="O62" s="25">
        <v>2411031</v>
      </c>
      <c r="P62" s="2">
        <v>100</v>
      </c>
      <c r="Q62" s="25">
        <v>2411031</v>
      </c>
      <c r="R62" s="25">
        <v>362128.51611365803</v>
      </c>
      <c r="S62" s="25">
        <v>0</v>
      </c>
      <c r="T62" s="25">
        <v>2048902</v>
      </c>
      <c r="U62" s="25">
        <v>0.48388634203001857</v>
      </c>
      <c r="V62" s="13">
        <v>409780</v>
      </c>
      <c r="W62" s="13">
        <v>0</v>
      </c>
      <c r="X62" s="13">
        <f t="shared" si="1"/>
        <v>0</v>
      </c>
      <c r="Y62" s="13"/>
      <c r="Z62" s="31"/>
      <c r="AA62" s="27"/>
    </row>
    <row r="63" spans="2:27">
      <c r="B63" s="11">
        <v>53</v>
      </c>
      <c r="C63" s="1" t="s">
        <v>202</v>
      </c>
      <c r="D63" s="1" t="s">
        <v>198</v>
      </c>
      <c r="E63" s="1" t="s">
        <v>199</v>
      </c>
      <c r="F63" s="29" t="s">
        <v>39</v>
      </c>
      <c r="G63" s="11">
        <v>2023</v>
      </c>
      <c r="H63" s="16">
        <v>45252</v>
      </c>
      <c r="I63" s="16">
        <v>45618</v>
      </c>
      <c r="J63" s="11">
        <v>2929</v>
      </c>
      <c r="K63" s="12" t="s">
        <v>200</v>
      </c>
      <c r="L63" s="16">
        <v>45311</v>
      </c>
      <c r="M63" s="12" t="s">
        <v>190</v>
      </c>
      <c r="N63" s="11" t="s">
        <v>42</v>
      </c>
      <c r="O63" s="25">
        <v>3429345</v>
      </c>
      <c r="P63" s="2">
        <v>100</v>
      </c>
      <c r="Q63" s="25">
        <v>3429345</v>
      </c>
      <c r="R63" s="25">
        <v>279946.530612242</v>
      </c>
      <c r="S63" s="25">
        <v>0</v>
      </c>
      <c r="T63" s="25">
        <v>3149399</v>
      </c>
      <c r="U63" s="25">
        <v>-0.5306122419424355</v>
      </c>
      <c r="V63" s="13">
        <v>629880</v>
      </c>
      <c r="W63" s="13">
        <v>0</v>
      </c>
      <c r="X63" s="13">
        <f t="shared" si="1"/>
        <v>0</v>
      </c>
      <c r="Y63" s="13"/>
      <c r="Z63" s="31"/>
      <c r="AA63" s="27"/>
    </row>
    <row r="64" spans="2:27">
      <c r="B64" s="11">
        <v>54</v>
      </c>
      <c r="C64" s="1" t="s">
        <v>203</v>
      </c>
      <c r="D64" s="1" t="s">
        <v>198</v>
      </c>
      <c r="E64" s="1" t="s">
        <v>199</v>
      </c>
      <c r="F64" s="29" t="s">
        <v>39</v>
      </c>
      <c r="G64" s="11">
        <v>2023</v>
      </c>
      <c r="H64" s="16">
        <v>45252</v>
      </c>
      <c r="I64" s="16">
        <v>45618</v>
      </c>
      <c r="J64" s="11">
        <v>2929</v>
      </c>
      <c r="K64" s="12" t="s">
        <v>200</v>
      </c>
      <c r="L64" s="16">
        <v>45405</v>
      </c>
      <c r="M64" s="12" t="s">
        <v>190</v>
      </c>
      <c r="N64" s="11" t="s">
        <v>42</v>
      </c>
      <c r="O64" s="28">
        <v>65447247.25</v>
      </c>
      <c r="P64" s="2">
        <v>100</v>
      </c>
      <c r="Q64" s="25">
        <v>65447247.25</v>
      </c>
      <c r="R64" s="28">
        <v>5813233.7813219205</v>
      </c>
      <c r="S64" s="28">
        <v>0</v>
      </c>
      <c r="T64" s="28">
        <v>29585941</v>
      </c>
      <c r="U64" s="25">
        <v>30048072.46867808</v>
      </c>
      <c r="V64" s="18">
        <v>5917188</v>
      </c>
      <c r="W64" s="13">
        <v>17879966.600000001</v>
      </c>
      <c r="X64" s="13">
        <f t="shared" si="1"/>
        <v>3575993.3200000003</v>
      </c>
      <c r="Y64" s="13"/>
      <c r="Z64" s="31"/>
      <c r="AA64" s="27"/>
    </row>
    <row r="65" spans="2:27">
      <c r="B65" s="11">
        <v>55</v>
      </c>
      <c r="C65" s="1" t="s">
        <v>204</v>
      </c>
      <c r="D65" s="1" t="s">
        <v>198</v>
      </c>
      <c r="E65" s="1" t="s">
        <v>199</v>
      </c>
      <c r="F65" s="29" t="s">
        <v>39</v>
      </c>
      <c r="G65" s="11">
        <v>2023</v>
      </c>
      <c r="H65" s="16">
        <v>45252</v>
      </c>
      <c r="I65" s="16">
        <v>45618</v>
      </c>
      <c r="J65" s="11">
        <v>2929</v>
      </c>
      <c r="K65" s="12" t="s">
        <v>200</v>
      </c>
      <c r="L65" s="16">
        <v>45283</v>
      </c>
      <c r="M65" s="12" t="s">
        <v>190</v>
      </c>
      <c r="N65" s="11" t="s">
        <v>42</v>
      </c>
      <c r="O65" s="25">
        <v>65447247.25</v>
      </c>
      <c r="P65" s="2">
        <v>100</v>
      </c>
      <c r="Q65" s="25">
        <v>65447247.25</v>
      </c>
      <c r="R65" s="25">
        <v>5813233.7813219205</v>
      </c>
      <c r="S65" s="25">
        <v>0</v>
      </c>
      <c r="T65" s="25">
        <v>16170661</v>
      </c>
      <c r="U65" s="25">
        <v>43463352.46867808</v>
      </c>
      <c r="V65" s="13">
        <v>3234132</v>
      </c>
      <c r="W65" s="13">
        <v>21252992.75</v>
      </c>
      <c r="X65" s="13">
        <f t="shared" si="1"/>
        <v>4250598.55</v>
      </c>
      <c r="Y65" s="13"/>
      <c r="Z65" s="31"/>
      <c r="AA65" s="27"/>
    </row>
    <row r="66" spans="2:27">
      <c r="B66" s="11">
        <v>56</v>
      </c>
      <c r="C66" s="1" t="s">
        <v>205</v>
      </c>
      <c r="D66" s="1" t="s">
        <v>198</v>
      </c>
      <c r="E66" s="1" t="s">
        <v>199</v>
      </c>
      <c r="F66" s="29" t="s">
        <v>39</v>
      </c>
      <c r="G66" s="11">
        <v>2023</v>
      </c>
      <c r="H66" s="16">
        <v>45252</v>
      </c>
      <c r="I66" s="16">
        <v>45618</v>
      </c>
      <c r="J66" s="11">
        <v>2929</v>
      </c>
      <c r="K66" s="12" t="s">
        <v>200</v>
      </c>
      <c r="L66" s="16">
        <v>45281</v>
      </c>
      <c r="M66" s="12" t="s">
        <v>190</v>
      </c>
      <c r="N66" s="11" t="s">
        <v>42</v>
      </c>
      <c r="O66" s="25">
        <v>65447247.25</v>
      </c>
      <c r="P66" s="2">
        <v>100</v>
      </c>
      <c r="Q66" s="25">
        <v>65447247.25</v>
      </c>
      <c r="R66" s="25">
        <v>5813233.7813219205</v>
      </c>
      <c r="S66" s="25">
        <v>0</v>
      </c>
      <c r="T66" s="25">
        <v>10860913</v>
      </c>
      <c r="U66" s="25">
        <v>48773100.46867808</v>
      </c>
      <c r="V66" s="13">
        <v>2172183</v>
      </c>
      <c r="W66" s="13">
        <v>58130344.75</v>
      </c>
      <c r="X66" s="13">
        <f t="shared" si="1"/>
        <v>11626068.950000001</v>
      </c>
      <c r="Y66" s="13"/>
      <c r="Z66" s="31"/>
      <c r="AA66" s="27"/>
    </row>
    <row r="67" spans="2:27">
      <c r="B67" s="11">
        <v>57</v>
      </c>
      <c r="C67" s="1" t="s">
        <v>206</v>
      </c>
      <c r="D67" s="1" t="s">
        <v>207</v>
      </c>
      <c r="E67" s="1" t="s">
        <v>208</v>
      </c>
      <c r="F67" s="29" t="s">
        <v>39</v>
      </c>
      <c r="G67" s="11">
        <v>2023</v>
      </c>
      <c r="H67" s="16">
        <v>45240</v>
      </c>
      <c r="I67" s="16">
        <v>45787</v>
      </c>
      <c r="J67" s="11">
        <v>29371</v>
      </c>
      <c r="K67" s="12" t="s">
        <v>142</v>
      </c>
      <c r="L67" s="16">
        <v>45582</v>
      </c>
      <c r="M67" s="12" t="s">
        <v>190</v>
      </c>
      <c r="N67" s="11" t="s">
        <v>42</v>
      </c>
      <c r="O67" s="25">
        <v>56573245.049999997</v>
      </c>
      <c r="P67" s="2">
        <v>100</v>
      </c>
      <c r="Q67" s="25">
        <v>56573245.049999997</v>
      </c>
      <c r="R67" s="25">
        <v>6622190.0886817304</v>
      </c>
      <c r="S67" s="25">
        <v>0</v>
      </c>
      <c r="T67" s="25">
        <v>49951055</v>
      </c>
      <c r="U67" s="25">
        <v>-3.8681730628013611E-2</v>
      </c>
      <c r="V67" s="13">
        <v>9990211</v>
      </c>
      <c r="W67" s="13">
        <v>0</v>
      </c>
      <c r="X67" s="13">
        <f t="shared" si="1"/>
        <v>0</v>
      </c>
      <c r="Y67" s="13"/>
      <c r="Z67" s="31"/>
      <c r="AA67" s="27"/>
    </row>
    <row r="68" spans="2:27">
      <c r="B68" s="11">
        <v>58</v>
      </c>
      <c r="C68" s="1" t="s">
        <v>209</v>
      </c>
      <c r="D68" s="1" t="s">
        <v>210</v>
      </c>
      <c r="E68" s="1" t="s">
        <v>211</v>
      </c>
      <c r="F68" s="29" t="s">
        <v>39</v>
      </c>
      <c r="G68" s="11">
        <v>2024</v>
      </c>
      <c r="H68" s="16">
        <v>45495</v>
      </c>
      <c r="I68" s="16">
        <v>45860</v>
      </c>
      <c r="J68" s="11">
        <v>29412</v>
      </c>
      <c r="K68" s="12" t="s">
        <v>212</v>
      </c>
      <c r="L68" s="16">
        <v>45699</v>
      </c>
      <c r="M68" s="12" t="s">
        <v>213</v>
      </c>
      <c r="N68" s="11" t="s">
        <v>42</v>
      </c>
      <c r="O68" s="25">
        <v>43020310</v>
      </c>
      <c r="P68" s="2">
        <v>100</v>
      </c>
      <c r="Q68" s="25">
        <v>43020310</v>
      </c>
      <c r="R68" s="25">
        <v>41190727.606069997</v>
      </c>
      <c r="S68" s="25">
        <v>0</v>
      </c>
      <c r="T68" s="25">
        <v>1417676</v>
      </c>
      <c r="U68" s="25">
        <v>411906.39393000305</v>
      </c>
      <c r="V68" s="13">
        <v>70884</v>
      </c>
      <c r="W68" s="13">
        <v>0</v>
      </c>
      <c r="X68" s="13">
        <f t="shared" ref="X68:X94" si="2">W68*5%</f>
        <v>0</v>
      </c>
      <c r="Y68" s="13"/>
      <c r="Z68" s="31"/>
      <c r="AA68" s="27"/>
    </row>
    <row r="69" spans="2:27">
      <c r="B69" s="11">
        <v>59</v>
      </c>
      <c r="C69" s="1" t="s">
        <v>214</v>
      </c>
      <c r="D69" s="1" t="s">
        <v>215</v>
      </c>
      <c r="E69" s="1" t="s">
        <v>216</v>
      </c>
      <c r="F69" s="29" t="s">
        <v>39</v>
      </c>
      <c r="G69" s="11">
        <v>2024</v>
      </c>
      <c r="H69" s="16">
        <v>45350</v>
      </c>
      <c r="I69" s="16">
        <v>47176</v>
      </c>
      <c r="J69" s="11">
        <v>2734</v>
      </c>
      <c r="K69" s="12" t="s">
        <v>108</v>
      </c>
      <c r="L69" s="16">
        <v>45695</v>
      </c>
      <c r="M69" s="12" t="s">
        <v>213</v>
      </c>
      <c r="N69" s="11" t="s">
        <v>42</v>
      </c>
      <c r="O69" s="25">
        <v>241422879</v>
      </c>
      <c r="P69" s="2">
        <v>100</v>
      </c>
      <c r="Q69" s="25">
        <v>241422879</v>
      </c>
      <c r="R69" s="25">
        <v>168996015.30000001</v>
      </c>
      <c r="S69" s="25">
        <v>0</v>
      </c>
      <c r="T69" s="25">
        <v>66391290</v>
      </c>
      <c r="U69" s="25">
        <v>6035573.6999999881</v>
      </c>
      <c r="V69" s="13">
        <v>3319565</v>
      </c>
      <c r="W69" s="13">
        <v>0</v>
      </c>
      <c r="X69" s="13">
        <f t="shared" si="2"/>
        <v>0</v>
      </c>
      <c r="Y69" s="13"/>
      <c r="Z69" s="31"/>
      <c r="AA69" s="27"/>
    </row>
    <row r="70" spans="2:27">
      <c r="B70" s="11">
        <v>60</v>
      </c>
      <c r="C70" s="1" t="s">
        <v>217</v>
      </c>
      <c r="D70" s="1" t="s">
        <v>218</v>
      </c>
      <c r="E70" s="1" t="s">
        <v>219</v>
      </c>
      <c r="F70" s="29" t="s">
        <v>39</v>
      </c>
      <c r="G70" s="11">
        <v>2024</v>
      </c>
      <c r="H70" s="16">
        <v>45323</v>
      </c>
      <c r="I70" s="16">
        <v>45689</v>
      </c>
      <c r="J70" s="11">
        <v>2623</v>
      </c>
      <c r="K70" s="12" t="s">
        <v>220</v>
      </c>
      <c r="L70" s="16">
        <v>45590</v>
      </c>
      <c r="M70" s="12" t="s">
        <v>221</v>
      </c>
      <c r="N70" s="11" t="s">
        <v>42</v>
      </c>
      <c r="O70" s="25">
        <v>-45750750</v>
      </c>
      <c r="P70" s="2">
        <v>75</v>
      </c>
      <c r="Q70" s="25">
        <v>-34313062.5</v>
      </c>
      <c r="R70" s="25">
        <v>-17135112.359550599</v>
      </c>
      <c r="S70" s="25">
        <v>0</v>
      </c>
      <c r="T70" s="25">
        <v>-28358611</v>
      </c>
      <c r="U70" s="25">
        <v>-257026.64044940099</v>
      </c>
      <c r="V70" s="13">
        <v>-1417931</v>
      </c>
      <c r="W70" s="13">
        <v>869486995</v>
      </c>
      <c r="X70" s="13">
        <f t="shared" si="2"/>
        <v>43474349.75</v>
      </c>
      <c r="Y70" s="13"/>
      <c r="Z70" s="31"/>
      <c r="AA70" s="27"/>
    </row>
    <row r="71" spans="2:27">
      <c r="B71" s="11">
        <v>61</v>
      </c>
      <c r="C71" s="1" t="s">
        <v>222</v>
      </c>
      <c r="D71" s="1" t="s">
        <v>223</v>
      </c>
      <c r="E71" s="1" t="s">
        <v>224</v>
      </c>
      <c r="F71" s="29" t="s">
        <v>39</v>
      </c>
      <c r="G71" s="11">
        <v>2024</v>
      </c>
      <c r="H71" s="16">
        <v>45535</v>
      </c>
      <c r="I71" s="16">
        <v>46022</v>
      </c>
      <c r="J71" s="11">
        <v>2790</v>
      </c>
      <c r="K71" s="12" t="s">
        <v>225</v>
      </c>
      <c r="L71" s="16">
        <v>45601</v>
      </c>
      <c r="M71" s="12" t="s">
        <v>221</v>
      </c>
      <c r="N71" s="11" t="s">
        <v>42</v>
      </c>
      <c r="O71" s="25">
        <v>35265646.649999999</v>
      </c>
      <c r="P71" s="2">
        <v>65</v>
      </c>
      <c r="Q71" s="25">
        <v>22922670.322500002</v>
      </c>
      <c r="R71" s="25">
        <v>542548.40999999398</v>
      </c>
      <c r="S71" s="25">
        <v>0</v>
      </c>
      <c r="T71" s="25">
        <v>6266434</v>
      </c>
      <c r="U71" s="25">
        <v>28456664.240000002</v>
      </c>
      <c r="V71" s="13">
        <v>313322</v>
      </c>
      <c r="W71" s="13">
        <v>0</v>
      </c>
      <c r="X71" s="13">
        <f t="shared" si="2"/>
        <v>0</v>
      </c>
      <c r="Y71" s="13"/>
      <c r="Z71" s="31"/>
      <c r="AA71" s="27"/>
    </row>
    <row r="72" spans="2:27">
      <c r="B72" s="11">
        <v>62</v>
      </c>
      <c r="C72" s="1" t="s">
        <v>226</v>
      </c>
      <c r="D72" s="1" t="s">
        <v>227</v>
      </c>
      <c r="E72" s="1" t="s">
        <v>228</v>
      </c>
      <c r="F72" s="29" t="s">
        <v>39</v>
      </c>
      <c r="G72" s="11">
        <v>2024</v>
      </c>
      <c r="H72" s="16">
        <v>45400</v>
      </c>
      <c r="I72" s="16">
        <v>45765</v>
      </c>
      <c r="J72" s="11">
        <v>2341</v>
      </c>
      <c r="K72" s="12" t="s">
        <v>229</v>
      </c>
      <c r="L72" s="16">
        <v>45595</v>
      </c>
      <c r="M72" s="12" t="s">
        <v>41</v>
      </c>
      <c r="N72" s="11" t="s">
        <v>42</v>
      </c>
      <c r="O72" s="25">
        <v>5709644</v>
      </c>
      <c r="P72" s="2">
        <v>10</v>
      </c>
      <c r="Q72" s="25">
        <v>570964.4</v>
      </c>
      <c r="R72" s="25">
        <v>3065694.9690281199</v>
      </c>
      <c r="S72" s="25">
        <v>0</v>
      </c>
      <c r="T72" s="25">
        <v>2638109</v>
      </c>
      <c r="U72" s="25">
        <v>5840.0309718800709</v>
      </c>
      <c r="V72" s="13">
        <v>131905</v>
      </c>
      <c r="W72" s="13">
        <v>0</v>
      </c>
      <c r="X72" s="13">
        <f t="shared" si="2"/>
        <v>0</v>
      </c>
      <c r="Y72" s="13"/>
      <c r="Z72" s="31"/>
      <c r="AA72" s="27"/>
    </row>
    <row r="73" spans="2:27">
      <c r="B73" s="11">
        <v>63</v>
      </c>
      <c r="C73" s="1" t="s">
        <v>230</v>
      </c>
      <c r="D73" s="1" t="s">
        <v>231</v>
      </c>
      <c r="E73" s="1" t="s">
        <v>232</v>
      </c>
      <c r="F73" s="29" t="s">
        <v>39</v>
      </c>
      <c r="G73" s="11">
        <v>2024</v>
      </c>
      <c r="H73" s="16">
        <v>45344</v>
      </c>
      <c r="I73" s="16">
        <v>45710</v>
      </c>
      <c r="J73" s="11">
        <v>2133</v>
      </c>
      <c r="K73" s="12" t="s">
        <v>233</v>
      </c>
      <c r="L73" s="16">
        <v>45388</v>
      </c>
      <c r="M73" s="12" t="s">
        <v>41</v>
      </c>
      <c r="N73" s="11" t="s">
        <v>42</v>
      </c>
      <c r="O73" s="25">
        <v>21683651.09</v>
      </c>
      <c r="P73" s="2">
        <v>10</v>
      </c>
      <c r="Q73" s="25">
        <v>2168365.1090000002</v>
      </c>
      <c r="R73" s="25">
        <v>20761826.014936801</v>
      </c>
      <c r="S73" s="25">
        <v>0</v>
      </c>
      <c r="T73" s="25">
        <v>894143</v>
      </c>
      <c r="U73" s="25">
        <v>27682.075063198805</v>
      </c>
      <c r="V73" s="13">
        <v>44707</v>
      </c>
      <c r="W73" s="13">
        <v>0</v>
      </c>
      <c r="X73" s="13">
        <f t="shared" si="2"/>
        <v>0</v>
      </c>
      <c r="Y73" s="13"/>
      <c r="Z73" s="31"/>
      <c r="AA73" s="27"/>
    </row>
    <row r="74" spans="2:27">
      <c r="B74" s="11">
        <v>64</v>
      </c>
      <c r="C74" s="1" t="s">
        <v>234</v>
      </c>
      <c r="D74" s="1" t="s">
        <v>235</v>
      </c>
      <c r="E74" s="1" t="s">
        <v>236</v>
      </c>
      <c r="F74" s="29" t="s">
        <v>39</v>
      </c>
      <c r="G74" s="11">
        <v>2024</v>
      </c>
      <c r="H74" s="16">
        <v>45626</v>
      </c>
      <c r="I74" s="16">
        <v>45991</v>
      </c>
      <c r="J74" s="11">
        <v>2751</v>
      </c>
      <c r="K74" s="12" t="s">
        <v>237</v>
      </c>
      <c r="L74" s="16">
        <v>45673</v>
      </c>
      <c r="M74" s="12" t="s">
        <v>41</v>
      </c>
      <c r="N74" s="11" t="s">
        <v>42</v>
      </c>
      <c r="O74" s="25">
        <v>1370404.8</v>
      </c>
      <c r="P74" s="2">
        <v>5</v>
      </c>
      <c r="Q74" s="25">
        <v>68520.240000000005</v>
      </c>
      <c r="R74" s="25">
        <v>560294.74861491204</v>
      </c>
      <c r="S74" s="25">
        <v>0</v>
      </c>
      <c r="T74" s="25">
        <v>115627</v>
      </c>
      <c r="U74" s="25">
        <v>694483.05138508801</v>
      </c>
      <c r="V74" s="13">
        <v>5781</v>
      </c>
      <c r="W74" s="13">
        <v>0</v>
      </c>
      <c r="X74" s="13">
        <f t="shared" si="2"/>
        <v>0</v>
      </c>
      <c r="Y74" s="13"/>
      <c r="Z74" s="31"/>
      <c r="AA74" s="27"/>
    </row>
    <row r="75" spans="2:27">
      <c r="B75" s="11">
        <v>65</v>
      </c>
      <c r="C75" s="1" t="s">
        <v>238</v>
      </c>
      <c r="D75" s="1" t="s">
        <v>235</v>
      </c>
      <c r="E75" s="1" t="s">
        <v>236</v>
      </c>
      <c r="F75" s="29" t="s">
        <v>39</v>
      </c>
      <c r="G75" s="11">
        <v>2024</v>
      </c>
      <c r="H75" s="16">
        <v>45626</v>
      </c>
      <c r="I75" s="16">
        <v>45991</v>
      </c>
      <c r="J75" s="11">
        <v>2751</v>
      </c>
      <c r="K75" s="12" t="s">
        <v>237</v>
      </c>
      <c r="L75" s="16">
        <v>45705</v>
      </c>
      <c r="M75" s="12" t="s">
        <v>41</v>
      </c>
      <c r="N75" s="11" t="s">
        <v>42</v>
      </c>
      <c r="O75" s="25">
        <v>1370404.8</v>
      </c>
      <c r="P75" s="2">
        <v>5</v>
      </c>
      <c r="Q75" s="25">
        <v>68520.240000000005</v>
      </c>
      <c r="R75" s="25">
        <v>560294.74861491204</v>
      </c>
      <c r="S75" s="25">
        <v>0</v>
      </c>
      <c r="T75" s="25">
        <v>114481</v>
      </c>
      <c r="U75" s="25">
        <v>695629.05138508801</v>
      </c>
      <c r="V75" s="13">
        <v>5724</v>
      </c>
      <c r="W75" s="13">
        <v>0</v>
      </c>
      <c r="X75" s="13">
        <f t="shared" si="2"/>
        <v>0</v>
      </c>
      <c r="Y75" s="13"/>
      <c r="Z75" s="31"/>
      <c r="AA75" s="27"/>
    </row>
    <row r="76" spans="2:27">
      <c r="B76" s="11">
        <v>66</v>
      </c>
      <c r="C76" s="1" t="s">
        <v>239</v>
      </c>
      <c r="D76" s="1" t="s">
        <v>235</v>
      </c>
      <c r="E76" s="1" t="s">
        <v>236</v>
      </c>
      <c r="F76" s="29" t="s">
        <v>39</v>
      </c>
      <c r="G76" s="11">
        <v>2024</v>
      </c>
      <c r="H76" s="16">
        <v>45626</v>
      </c>
      <c r="I76" s="16">
        <v>45991</v>
      </c>
      <c r="J76" s="11">
        <v>2751</v>
      </c>
      <c r="K76" s="12" t="s">
        <v>237</v>
      </c>
      <c r="L76" s="16">
        <v>45743</v>
      </c>
      <c r="M76" s="12" t="s">
        <v>41</v>
      </c>
      <c r="N76" s="11" t="s">
        <v>42</v>
      </c>
      <c r="O76" s="25">
        <v>1370404.8</v>
      </c>
      <c r="P76" s="2">
        <v>5</v>
      </c>
      <c r="Q76" s="25">
        <v>68520.240000000005</v>
      </c>
      <c r="R76" s="25">
        <v>560294.74861491204</v>
      </c>
      <c r="S76" s="25">
        <v>0</v>
      </c>
      <c r="T76" s="25">
        <v>116609</v>
      </c>
      <c r="U76" s="25">
        <v>693501.05138508801</v>
      </c>
      <c r="V76" s="13">
        <v>5830</v>
      </c>
      <c r="W76" s="13">
        <v>0</v>
      </c>
      <c r="X76" s="13">
        <f t="shared" si="2"/>
        <v>0</v>
      </c>
      <c r="Y76" s="13"/>
      <c r="Z76" s="31"/>
      <c r="AA76" s="27"/>
    </row>
    <row r="77" spans="2:27">
      <c r="B77" s="11">
        <v>67</v>
      </c>
      <c r="C77" s="1" t="s">
        <v>240</v>
      </c>
      <c r="D77" s="1" t="s">
        <v>235</v>
      </c>
      <c r="E77" s="1" t="s">
        <v>236</v>
      </c>
      <c r="F77" s="29" t="s">
        <v>39</v>
      </c>
      <c r="G77" s="11">
        <v>2024</v>
      </c>
      <c r="H77" s="16">
        <v>45626</v>
      </c>
      <c r="I77" s="16">
        <v>45991</v>
      </c>
      <c r="J77" s="11">
        <v>2751</v>
      </c>
      <c r="K77" s="12" t="s">
        <v>237</v>
      </c>
      <c r="L77" s="16">
        <v>45750</v>
      </c>
      <c r="M77" s="12" t="s">
        <v>41</v>
      </c>
      <c r="N77" s="11" t="s">
        <v>42</v>
      </c>
      <c r="O77" s="25">
        <v>1370404.8</v>
      </c>
      <c r="P77" s="2">
        <v>5</v>
      </c>
      <c r="Q77" s="25">
        <v>68520.240000000005</v>
      </c>
      <c r="R77" s="25">
        <v>560294.74861491204</v>
      </c>
      <c r="S77" s="25">
        <v>0</v>
      </c>
      <c r="T77" s="25">
        <v>116455</v>
      </c>
      <c r="U77" s="25">
        <v>693655.05138508801</v>
      </c>
      <c r="V77" s="13">
        <v>5823</v>
      </c>
      <c r="W77" s="13">
        <v>0</v>
      </c>
      <c r="X77" s="13">
        <f t="shared" si="2"/>
        <v>0</v>
      </c>
      <c r="Y77" s="13"/>
      <c r="Z77" s="31"/>
      <c r="AA77" s="27"/>
    </row>
    <row r="78" spans="2:27">
      <c r="B78" s="11">
        <v>68</v>
      </c>
      <c r="C78" s="1" t="s">
        <v>241</v>
      </c>
      <c r="D78" s="1" t="s">
        <v>235</v>
      </c>
      <c r="E78" s="1" t="s">
        <v>236</v>
      </c>
      <c r="F78" s="29" t="s">
        <v>39</v>
      </c>
      <c r="G78" s="11">
        <v>2024</v>
      </c>
      <c r="H78" s="16">
        <v>45626</v>
      </c>
      <c r="I78" s="16">
        <v>45991</v>
      </c>
      <c r="J78" s="11">
        <v>2751</v>
      </c>
      <c r="K78" s="12" t="s">
        <v>237</v>
      </c>
      <c r="L78" s="16">
        <v>45752</v>
      </c>
      <c r="M78" s="12" t="s">
        <v>41</v>
      </c>
      <c r="N78" s="11" t="s">
        <v>42</v>
      </c>
      <c r="O78" s="25">
        <v>1370404.8</v>
      </c>
      <c r="P78" s="2">
        <v>5</v>
      </c>
      <c r="Q78" s="25">
        <v>68520.240000000005</v>
      </c>
      <c r="R78" s="25">
        <v>560294.74861491204</v>
      </c>
      <c r="S78" s="25">
        <v>0</v>
      </c>
      <c r="T78" s="25">
        <v>116455</v>
      </c>
      <c r="U78" s="25">
        <v>693655.05138508801</v>
      </c>
      <c r="V78" s="13">
        <v>5823</v>
      </c>
      <c r="W78" s="13">
        <v>0</v>
      </c>
      <c r="X78" s="13">
        <f t="shared" si="2"/>
        <v>0</v>
      </c>
      <c r="Y78" s="13"/>
      <c r="Z78" s="31"/>
      <c r="AA78" s="27"/>
    </row>
    <row r="79" spans="2:27">
      <c r="B79" s="11">
        <v>69</v>
      </c>
      <c r="C79" s="1" t="s">
        <v>242</v>
      </c>
      <c r="D79" s="1" t="s">
        <v>235</v>
      </c>
      <c r="E79" s="1" t="s">
        <v>236</v>
      </c>
      <c r="F79" s="29" t="s">
        <v>39</v>
      </c>
      <c r="G79" s="11">
        <v>2024</v>
      </c>
      <c r="H79" s="16">
        <v>45626</v>
      </c>
      <c r="I79" s="16">
        <v>45991</v>
      </c>
      <c r="J79" s="11">
        <v>2751</v>
      </c>
      <c r="K79" s="12" t="s">
        <v>237</v>
      </c>
      <c r="L79" s="16">
        <v>45722</v>
      </c>
      <c r="M79" s="12" t="s">
        <v>41</v>
      </c>
      <c r="N79" s="11" t="s">
        <v>42</v>
      </c>
      <c r="O79" s="28">
        <v>1370404.8</v>
      </c>
      <c r="P79" s="2">
        <v>5</v>
      </c>
      <c r="Q79" s="25">
        <v>68520.240000000005</v>
      </c>
      <c r="R79" s="28">
        <v>560294.74861491204</v>
      </c>
      <c r="S79" s="28">
        <v>0</v>
      </c>
      <c r="T79" s="28">
        <v>115085</v>
      </c>
      <c r="U79" s="25">
        <v>695025.05138508801</v>
      </c>
      <c r="V79" s="18">
        <v>5754</v>
      </c>
      <c r="W79" s="13">
        <v>0</v>
      </c>
      <c r="X79" s="13">
        <f t="shared" si="2"/>
        <v>0</v>
      </c>
      <c r="Y79" s="13"/>
      <c r="Z79" s="31"/>
      <c r="AA79" s="27"/>
    </row>
    <row r="80" spans="2:27">
      <c r="B80" s="11">
        <v>70</v>
      </c>
      <c r="C80" s="1" t="s">
        <v>243</v>
      </c>
      <c r="D80" s="1" t="s">
        <v>235</v>
      </c>
      <c r="E80" s="1" t="s">
        <v>236</v>
      </c>
      <c r="F80" s="29" t="s">
        <v>39</v>
      </c>
      <c r="G80" s="11">
        <v>2024</v>
      </c>
      <c r="H80" s="16">
        <v>45626</v>
      </c>
      <c r="I80" s="16">
        <v>45991</v>
      </c>
      <c r="J80" s="11">
        <v>2751</v>
      </c>
      <c r="K80" s="12" t="s">
        <v>237</v>
      </c>
      <c r="L80" s="16">
        <v>45726</v>
      </c>
      <c r="M80" s="12" t="s">
        <v>41</v>
      </c>
      <c r="N80" s="11" t="s">
        <v>42</v>
      </c>
      <c r="O80" s="25">
        <v>1370404.8</v>
      </c>
      <c r="P80" s="2">
        <v>5</v>
      </c>
      <c r="Q80" s="25">
        <v>68520.240000000005</v>
      </c>
      <c r="R80" s="25">
        <v>560294.74861491204</v>
      </c>
      <c r="S80" s="25">
        <v>0</v>
      </c>
      <c r="T80" s="25">
        <v>114839</v>
      </c>
      <c r="U80" s="25">
        <v>695271.05138508801</v>
      </c>
      <c r="V80" s="13">
        <v>5742</v>
      </c>
      <c r="W80" s="13">
        <v>0</v>
      </c>
      <c r="X80" s="13">
        <f t="shared" si="2"/>
        <v>0</v>
      </c>
      <c r="Y80" s="13"/>
      <c r="Z80" s="31"/>
      <c r="AA80" s="27"/>
    </row>
    <row r="81" spans="2:27">
      <c r="B81" s="11">
        <v>71</v>
      </c>
      <c r="C81" s="1" t="s">
        <v>244</v>
      </c>
      <c r="D81" s="1" t="s">
        <v>245</v>
      </c>
      <c r="E81" s="1" t="s">
        <v>246</v>
      </c>
      <c r="F81" s="29" t="s">
        <v>39</v>
      </c>
      <c r="G81" s="11">
        <v>2024</v>
      </c>
      <c r="H81" s="16">
        <v>45350</v>
      </c>
      <c r="I81" s="16">
        <v>45716</v>
      </c>
      <c r="J81" s="11">
        <v>2975</v>
      </c>
      <c r="K81" s="12" t="s">
        <v>247</v>
      </c>
      <c r="L81" s="16">
        <v>45474</v>
      </c>
      <c r="M81" s="12" t="s">
        <v>41</v>
      </c>
      <c r="N81" s="11" t="s">
        <v>42</v>
      </c>
      <c r="O81" s="28">
        <v>77972907.625</v>
      </c>
      <c r="P81" s="2">
        <v>12.5</v>
      </c>
      <c r="Q81" s="25">
        <v>9746613.453125</v>
      </c>
      <c r="R81" s="28">
        <v>13490122.4264706</v>
      </c>
      <c r="S81" s="28">
        <v>0</v>
      </c>
      <c r="T81" s="28">
        <v>64460302</v>
      </c>
      <c r="U81" s="25">
        <v>22483.198529399931</v>
      </c>
      <c r="V81" s="18">
        <v>3223015</v>
      </c>
      <c r="W81" s="13">
        <v>0</v>
      </c>
      <c r="X81" s="13">
        <f t="shared" si="2"/>
        <v>0</v>
      </c>
      <c r="Y81" s="13"/>
      <c r="Z81" s="31"/>
      <c r="AA81" s="27"/>
    </row>
    <row r="82" spans="2:27">
      <c r="B82" s="11">
        <v>72</v>
      </c>
      <c r="C82" s="1" t="s">
        <v>248</v>
      </c>
      <c r="D82" s="1" t="s">
        <v>249</v>
      </c>
      <c r="E82" s="1" t="s">
        <v>250</v>
      </c>
      <c r="F82" s="29" t="s">
        <v>39</v>
      </c>
      <c r="G82" s="11">
        <v>2024</v>
      </c>
      <c r="H82" s="16">
        <v>45350</v>
      </c>
      <c r="I82" s="16">
        <v>45716</v>
      </c>
      <c r="J82" s="11">
        <v>2975</v>
      </c>
      <c r="K82" s="12" t="s">
        <v>251</v>
      </c>
      <c r="L82" s="16">
        <v>45446</v>
      </c>
      <c r="M82" s="12" t="s">
        <v>41</v>
      </c>
      <c r="N82" s="11" t="s">
        <v>42</v>
      </c>
      <c r="O82" s="25">
        <v>2122500</v>
      </c>
      <c r="P82" s="2">
        <v>12.5</v>
      </c>
      <c r="Q82" s="25">
        <v>265312.5</v>
      </c>
      <c r="R82" s="25">
        <v>273782.65075789002</v>
      </c>
      <c r="S82" s="25">
        <v>0</v>
      </c>
      <c r="T82" s="25">
        <v>912213</v>
      </c>
      <c r="U82" s="25">
        <v>936504.34924211004</v>
      </c>
      <c r="V82" s="13">
        <v>45611</v>
      </c>
      <c r="W82" s="13">
        <v>0</v>
      </c>
      <c r="X82" s="13">
        <f t="shared" si="2"/>
        <v>0</v>
      </c>
      <c r="Y82" s="13"/>
      <c r="Z82" s="31"/>
      <c r="AA82" s="27"/>
    </row>
    <row r="83" spans="2:27">
      <c r="B83" s="11">
        <v>73</v>
      </c>
      <c r="C83" s="1" t="s">
        <v>252</v>
      </c>
      <c r="D83" s="1" t="s">
        <v>249</v>
      </c>
      <c r="E83" s="1" t="s">
        <v>250</v>
      </c>
      <c r="F83" s="29" t="s">
        <v>39</v>
      </c>
      <c r="G83" s="11">
        <v>2024</v>
      </c>
      <c r="H83" s="16">
        <v>45350</v>
      </c>
      <c r="I83" s="16">
        <v>45716</v>
      </c>
      <c r="J83" s="11">
        <v>2975</v>
      </c>
      <c r="K83" s="12" t="s">
        <v>251</v>
      </c>
      <c r="L83" s="16">
        <v>45447</v>
      </c>
      <c r="M83" s="12" t="s">
        <v>41</v>
      </c>
      <c r="N83" s="11" t="s">
        <v>42</v>
      </c>
      <c r="O83" s="28">
        <v>2122500</v>
      </c>
      <c r="P83" s="2">
        <v>12.5</v>
      </c>
      <c r="Q83" s="25">
        <v>265312.5</v>
      </c>
      <c r="R83" s="28">
        <v>273782.65075789002</v>
      </c>
      <c r="S83" s="28">
        <v>0</v>
      </c>
      <c r="T83" s="28">
        <v>936161</v>
      </c>
      <c r="U83" s="25">
        <v>912556.34924211004</v>
      </c>
      <c r="V83" s="18">
        <v>46808</v>
      </c>
      <c r="W83" s="13">
        <v>0</v>
      </c>
      <c r="X83" s="13">
        <f t="shared" si="2"/>
        <v>0</v>
      </c>
      <c r="Y83" s="13"/>
      <c r="Z83" s="31"/>
      <c r="AA83" s="27"/>
    </row>
    <row r="84" spans="2:27">
      <c r="B84" s="11">
        <v>74</v>
      </c>
      <c r="C84" s="1" t="s">
        <v>253</v>
      </c>
      <c r="D84" s="1" t="s">
        <v>254</v>
      </c>
      <c r="E84" s="1" t="s">
        <v>255</v>
      </c>
      <c r="F84" s="29" t="s">
        <v>39</v>
      </c>
      <c r="G84" s="11">
        <v>2024</v>
      </c>
      <c r="H84" s="16">
        <v>45504</v>
      </c>
      <c r="I84" s="16">
        <v>45869</v>
      </c>
      <c r="J84" s="11">
        <v>2708</v>
      </c>
      <c r="K84" s="12" t="s">
        <v>256</v>
      </c>
      <c r="L84" s="16">
        <v>45673</v>
      </c>
      <c r="M84" s="12" t="s">
        <v>41</v>
      </c>
      <c r="N84" s="11" t="s">
        <v>42</v>
      </c>
      <c r="O84" s="25">
        <v>23998770.800000001</v>
      </c>
      <c r="P84" s="2">
        <v>5</v>
      </c>
      <c r="Q84" s="25">
        <v>1199938.54</v>
      </c>
      <c r="R84" s="25">
        <v>12904717.472706201</v>
      </c>
      <c r="S84" s="25">
        <v>0</v>
      </c>
      <c r="T84" s="25">
        <v>11081148</v>
      </c>
      <c r="U84" s="25">
        <v>12905.32729380019</v>
      </c>
      <c r="V84" s="13">
        <v>554057</v>
      </c>
      <c r="W84" s="13">
        <v>0</v>
      </c>
      <c r="X84" s="13">
        <f t="shared" si="2"/>
        <v>0</v>
      </c>
      <c r="Y84" s="13"/>
      <c r="Z84" s="31"/>
      <c r="AA84" s="27"/>
    </row>
    <row r="85" spans="2:27">
      <c r="B85" s="11">
        <v>75</v>
      </c>
      <c r="C85" s="1" t="s">
        <v>257</v>
      </c>
      <c r="D85" s="1" t="s">
        <v>258</v>
      </c>
      <c r="E85" s="1" t="s">
        <v>259</v>
      </c>
      <c r="F85" s="29" t="s">
        <v>39</v>
      </c>
      <c r="G85" s="11">
        <v>2024</v>
      </c>
      <c r="H85" s="16">
        <v>45505</v>
      </c>
      <c r="I85" s="16">
        <v>46022</v>
      </c>
      <c r="J85" s="11">
        <v>29313</v>
      </c>
      <c r="K85" s="12" t="s">
        <v>260</v>
      </c>
      <c r="L85" s="16">
        <v>45515</v>
      </c>
      <c r="M85" s="12" t="s">
        <v>41</v>
      </c>
      <c r="N85" s="11" t="s">
        <v>42</v>
      </c>
      <c r="O85" s="25">
        <v>1824162</v>
      </c>
      <c r="P85" s="2">
        <v>11.5</v>
      </c>
      <c r="Q85" s="25">
        <v>209778.63</v>
      </c>
      <c r="R85" s="25">
        <v>1754656.3018986799</v>
      </c>
      <c r="S85" s="25">
        <v>0</v>
      </c>
      <c r="T85" s="25">
        <v>66814.999999999898</v>
      </c>
      <c r="U85" s="25">
        <v>2690.698101320173</v>
      </c>
      <c r="V85" s="13">
        <v>3341</v>
      </c>
      <c r="W85" s="13">
        <v>0</v>
      </c>
      <c r="X85" s="13">
        <f t="shared" si="2"/>
        <v>0</v>
      </c>
      <c r="Y85" s="13"/>
      <c r="Z85" s="31"/>
      <c r="AA85" s="27"/>
    </row>
    <row r="86" spans="2:27">
      <c r="B86" s="11">
        <v>76</v>
      </c>
      <c r="C86" s="1" t="s">
        <v>261</v>
      </c>
      <c r="D86" s="1" t="s">
        <v>262</v>
      </c>
      <c r="E86" s="1" t="s">
        <v>263</v>
      </c>
      <c r="F86" s="29" t="s">
        <v>39</v>
      </c>
      <c r="G86" s="11">
        <v>2024</v>
      </c>
      <c r="H86" s="16">
        <v>45491</v>
      </c>
      <c r="I86" s="16">
        <v>45992</v>
      </c>
      <c r="J86" s="11">
        <v>29313</v>
      </c>
      <c r="K86" s="12" t="s">
        <v>264</v>
      </c>
      <c r="L86" s="16">
        <v>45703</v>
      </c>
      <c r="M86" s="12" t="s">
        <v>41</v>
      </c>
      <c r="N86" s="11" t="s">
        <v>42</v>
      </c>
      <c r="O86" s="25">
        <v>1930000</v>
      </c>
      <c r="P86" s="2">
        <v>10</v>
      </c>
      <c r="Q86" s="25">
        <v>193000</v>
      </c>
      <c r="R86" s="25">
        <v>1148809.5238095201</v>
      </c>
      <c r="S86" s="25">
        <v>0</v>
      </c>
      <c r="T86" s="25">
        <v>779658</v>
      </c>
      <c r="U86" s="25">
        <v>1532.4761904799379</v>
      </c>
      <c r="V86" s="13">
        <v>38983</v>
      </c>
      <c r="W86" s="13">
        <v>0</v>
      </c>
      <c r="X86" s="13">
        <f t="shared" si="2"/>
        <v>0</v>
      </c>
      <c r="Y86" s="13"/>
      <c r="Z86" s="31"/>
      <c r="AA86" s="27"/>
    </row>
    <row r="87" spans="2:27">
      <c r="B87" s="11">
        <v>77</v>
      </c>
      <c r="C87" s="1" t="s">
        <v>265</v>
      </c>
      <c r="D87" s="1" t="s">
        <v>266</v>
      </c>
      <c r="E87" s="1" t="s">
        <v>267</v>
      </c>
      <c r="F87" s="29" t="s">
        <v>39</v>
      </c>
      <c r="G87" s="11">
        <v>2024</v>
      </c>
      <c r="H87" s="16">
        <v>45585</v>
      </c>
      <c r="I87" s="16">
        <v>45950</v>
      </c>
      <c r="J87" s="11">
        <v>2511</v>
      </c>
      <c r="K87" s="12" t="s">
        <v>268</v>
      </c>
      <c r="L87" s="16">
        <v>45667</v>
      </c>
      <c r="M87" s="12" t="s">
        <v>41</v>
      </c>
      <c r="N87" s="11" t="s">
        <v>42</v>
      </c>
      <c r="O87" s="25">
        <v>54444441.338</v>
      </c>
      <c r="P87" s="2">
        <v>10</v>
      </c>
      <c r="Q87" s="25">
        <v>5444444.1338</v>
      </c>
      <c r="R87" s="25">
        <v>23267999.258938</v>
      </c>
      <c r="S87" s="25">
        <v>0</v>
      </c>
      <c r="T87" s="25">
        <v>31132121</v>
      </c>
      <c r="U87" s="25">
        <v>44321.079061999917</v>
      </c>
      <c r="V87" s="13">
        <v>1556606</v>
      </c>
      <c r="W87" s="13">
        <v>0</v>
      </c>
      <c r="X87" s="13">
        <f t="shared" si="2"/>
        <v>0</v>
      </c>
      <c r="Y87" s="13"/>
      <c r="Z87" s="31"/>
      <c r="AA87" s="27"/>
    </row>
    <row r="88" spans="2:27">
      <c r="B88" s="11">
        <v>78</v>
      </c>
      <c r="C88" s="1" t="s">
        <v>269</v>
      </c>
      <c r="D88" s="1" t="s">
        <v>270</v>
      </c>
      <c r="E88" s="1" t="s">
        <v>271</v>
      </c>
      <c r="F88" s="29" t="s">
        <v>39</v>
      </c>
      <c r="G88" s="11">
        <v>2024</v>
      </c>
      <c r="H88" s="16">
        <v>45657</v>
      </c>
      <c r="I88" s="16">
        <v>46022</v>
      </c>
      <c r="J88" s="11">
        <v>23002</v>
      </c>
      <c r="K88" s="12" t="s">
        <v>159</v>
      </c>
      <c r="L88" s="16">
        <v>45659</v>
      </c>
      <c r="M88" s="12" t="s">
        <v>41</v>
      </c>
      <c r="N88" s="11" t="s">
        <v>42</v>
      </c>
      <c r="O88" s="25">
        <v>9301613.8000000007</v>
      </c>
      <c r="P88" s="2">
        <v>20</v>
      </c>
      <c r="Q88" s="25">
        <v>1860322.7600000002</v>
      </c>
      <c r="R88" s="25">
        <v>3274042.5303792399</v>
      </c>
      <c r="S88" s="25">
        <v>0</v>
      </c>
      <c r="T88" s="25">
        <v>6021022</v>
      </c>
      <c r="U88" s="25">
        <v>6549.2696207612753</v>
      </c>
      <c r="V88" s="13">
        <v>301051</v>
      </c>
      <c r="W88" s="13">
        <v>0</v>
      </c>
      <c r="X88" s="13">
        <f t="shared" si="2"/>
        <v>0</v>
      </c>
      <c r="Y88" s="13"/>
      <c r="Z88" s="31"/>
      <c r="AA88" s="27"/>
    </row>
    <row r="89" spans="2:27">
      <c r="B89" s="11">
        <v>79</v>
      </c>
      <c r="C89" s="1" t="s">
        <v>272</v>
      </c>
      <c r="D89" s="1" t="s">
        <v>273</v>
      </c>
      <c r="E89" s="1" t="s">
        <v>274</v>
      </c>
      <c r="F89" s="29" t="s">
        <v>39</v>
      </c>
      <c r="G89" s="11">
        <v>2024</v>
      </c>
      <c r="H89" s="16">
        <v>45444</v>
      </c>
      <c r="I89" s="16">
        <v>45992</v>
      </c>
      <c r="J89" s="11">
        <v>2975</v>
      </c>
      <c r="K89" s="12" t="s">
        <v>275</v>
      </c>
      <c r="L89" s="16">
        <v>45680</v>
      </c>
      <c r="M89" s="12" t="s">
        <v>41</v>
      </c>
      <c r="N89" s="11" t="s">
        <v>42</v>
      </c>
      <c r="O89" s="28">
        <v>2368060.5</v>
      </c>
      <c r="P89" s="2">
        <v>10</v>
      </c>
      <c r="Q89" s="25">
        <v>236806.05000000002</v>
      </c>
      <c r="R89" s="28">
        <v>1281418.0194805199</v>
      </c>
      <c r="S89" s="28">
        <v>0</v>
      </c>
      <c r="T89" s="28">
        <v>1084935</v>
      </c>
      <c r="U89" s="25">
        <v>1707.480519480072</v>
      </c>
      <c r="V89" s="18">
        <v>54247</v>
      </c>
      <c r="W89" s="13">
        <v>0</v>
      </c>
      <c r="X89" s="13">
        <f t="shared" si="2"/>
        <v>0</v>
      </c>
      <c r="Y89" s="13"/>
      <c r="Z89" s="31"/>
      <c r="AA89" s="27"/>
    </row>
    <row r="90" spans="2:27">
      <c r="B90" s="11">
        <v>80</v>
      </c>
      <c r="C90" s="1" t="s">
        <v>276</v>
      </c>
      <c r="D90" s="1" t="s">
        <v>277</v>
      </c>
      <c r="E90" s="1" t="s">
        <v>278</v>
      </c>
      <c r="F90" s="29" t="s">
        <v>39</v>
      </c>
      <c r="G90" s="11">
        <v>2024</v>
      </c>
      <c r="H90" s="16">
        <v>45444</v>
      </c>
      <c r="I90" s="16">
        <v>45992</v>
      </c>
      <c r="J90" s="11">
        <v>2972</v>
      </c>
      <c r="K90" s="12" t="s">
        <v>275</v>
      </c>
      <c r="L90" s="16">
        <v>45559</v>
      </c>
      <c r="M90" s="12" t="s">
        <v>41</v>
      </c>
      <c r="N90" s="11" t="s">
        <v>42</v>
      </c>
      <c r="O90" s="28">
        <v>4866373.2</v>
      </c>
      <c r="P90" s="2">
        <v>10</v>
      </c>
      <c r="Q90" s="25">
        <v>486637.32000000007</v>
      </c>
      <c r="R90" s="28">
        <v>1042794.25714286</v>
      </c>
      <c r="S90" s="28">
        <v>0</v>
      </c>
      <c r="T90" s="28">
        <v>3822189</v>
      </c>
      <c r="U90" s="25">
        <v>1389.9428571402095</v>
      </c>
      <c r="V90" s="18">
        <v>191109</v>
      </c>
      <c r="W90" s="13">
        <v>0</v>
      </c>
      <c r="X90" s="13">
        <f t="shared" si="2"/>
        <v>0</v>
      </c>
      <c r="Y90" s="13"/>
      <c r="Z90" s="31"/>
      <c r="AA90" s="27"/>
    </row>
    <row r="91" spans="2:27">
      <c r="B91" s="11">
        <v>81</v>
      </c>
      <c r="C91" s="1" t="s">
        <v>279</v>
      </c>
      <c r="D91" s="1" t="s">
        <v>280</v>
      </c>
      <c r="E91" s="1" t="s">
        <v>281</v>
      </c>
      <c r="F91" s="29" t="s">
        <v>39</v>
      </c>
      <c r="G91" s="11">
        <v>2024</v>
      </c>
      <c r="H91" s="16">
        <v>45580</v>
      </c>
      <c r="I91" s="16">
        <v>45992</v>
      </c>
      <c r="J91" s="11">
        <v>2972</v>
      </c>
      <c r="K91" s="12" t="s">
        <v>282</v>
      </c>
      <c r="L91" s="16">
        <v>45734</v>
      </c>
      <c r="M91" s="12" t="s">
        <v>41</v>
      </c>
      <c r="N91" s="11" t="s">
        <v>42</v>
      </c>
      <c r="O91" s="28">
        <v>187310.5</v>
      </c>
      <c r="P91" s="2">
        <v>10</v>
      </c>
      <c r="Q91" s="25">
        <v>18731.05</v>
      </c>
      <c r="R91" s="28">
        <v>122894.26800881499</v>
      </c>
      <c r="S91" s="28">
        <v>0</v>
      </c>
      <c r="T91" s="28">
        <v>64253</v>
      </c>
      <c r="U91" s="25">
        <v>163.23199118500634</v>
      </c>
      <c r="V91" s="18">
        <v>3213</v>
      </c>
      <c r="W91" s="13">
        <v>0</v>
      </c>
      <c r="X91" s="13">
        <f t="shared" si="2"/>
        <v>0</v>
      </c>
      <c r="Y91" s="13"/>
      <c r="Z91" s="31"/>
      <c r="AA91" s="27"/>
    </row>
    <row r="92" spans="2:27">
      <c r="B92" s="11">
        <v>82</v>
      </c>
      <c r="C92" s="1" t="s">
        <v>283</v>
      </c>
      <c r="D92" s="1" t="s">
        <v>284</v>
      </c>
      <c r="E92" s="1" t="s">
        <v>285</v>
      </c>
      <c r="F92" s="29" t="s">
        <v>39</v>
      </c>
      <c r="G92" s="11">
        <v>2024</v>
      </c>
      <c r="H92" s="16">
        <v>45494</v>
      </c>
      <c r="I92" s="16">
        <v>45859</v>
      </c>
      <c r="J92" s="11">
        <v>2413</v>
      </c>
      <c r="K92" s="12" t="s">
        <v>286</v>
      </c>
      <c r="L92" s="16">
        <v>45605</v>
      </c>
      <c r="M92" s="12" t="s">
        <v>41</v>
      </c>
      <c r="N92" s="11" t="s">
        <v>42</v>
      </c>
      <c r="O92" s="28">
        <v>5709632.9500000002</v>
      </c>
      <c r="P92" s="2">
        <v>5</v>
      </c>
      <c r="Q92" s="25">
        <v>285481.64750000002</v>
      </c>
      <c r="R92" s="28">
        <v>1406660.83625803</v>
      </c>
      <c r="S92" s="28">
        <v>0</v>
      </c>
      <c r="T92" s="28">
        <v>4294935</v>
      </c>
      <c r="U92" s="25">
        <v>8037.1137419696897</v>
      </c>
      <c r="V92" s="18">
        <v>214747</v>
      </c>
      <c r="W92" s="13">
        <v>3274488.3</v>
      </c>
      <c r="X92" s="13">
        <f t="shared" si="2"/>
        <v>163724.41500000001</v>
      </c>
      <c r="Y92" s="13"/>
      <c r="Z92" s="31"/>
      <c r="AA92" s="27"/>
    </row>
    <row r="93" spans="2:27">
      <c r="B93" s="11">
        <v>83</v>
      </c>
      <c r="C93" s="1" t="s">
        <v>287</v>
      </c>
      <c r="D93" s="1" t="s">
        <v>288</v>
      </c>
      <c r="E93" s="1" t="s">
        <v>289</v>
      </c>
      <c r="F93" s="29" t="s">
        <v>39</v>
      </c>
      <c r="G93" s="11">
        <v>2024</v>
      </c>
      <c r="H93" s="16">
        <v>45489</v>
      </c>
      <c r="I93" s="16">
        <v>45854</v>
      </c>
      <c r="J93" s="11">
        <v>2578</v>
      </c>
      <c r="K93" s="12" t="s">
        <v>290</v>
      </c>
      <c r="L93" s="16">
        <v>45591</v>
      </c>
      <c r="M93" s="12" t="s">
        <v>41</v>
      </c>
      <c r="N93" s="11" t="s">
        <v>42</v>
      </c>
      <c r="O93" s="28">
        <v>49229562.450000003</v>
      </c>
      <c r="P93" s="2">
        <v>15</v>
      </c>
      <c r="Q93" s="25">
        <v>7384434.3675000006</v>
      </c>
      <c r="R93" s="28">
        <v>36387423.048115402</v>
      </c>
      <c r="S93" s="28">
        <v>0</v>
      </c>
      <c r="T93" s="28">
        <v>12738175</v>
      </c>
      <c r="U93" s="25">
        <v>103964.40188460052</v>
      </c>
      <c r="V93" s="18">
        <v>636909</v>
      </c>
      <c r="W93" s="13">
        <v>0</v>
      </c>
      <c r="X93" s="13">
        <f t="shared" si="2"/>
        <v>0</v>
      </c>
      <c r="Y93" s="13"/>
      <c r="Z93" s="31"/>
      <c r="AA93" s="27"/>
    </row>
    <row r="94" spans="2:27">
      <c r="B94" s="11">
        <v>84</v>
      </c>
      <c r="C94" s="1" t="s">
        <v>291</v>
      </c>
      <c r="D94" s="1" t="s">
        <v>292</v>
      </c>
      <c r="E94" s="1" t="s">
        <v>293</v>
      </c>
      <c r="F94" s="29" t="s">
        <v>39</v>
      </c>
      <c r="G94" s="11">
        <v>2024</v>
      </c>
      <c r="H94" s="16">
        <v>45543</v>
      </c>
      <c r="I94" s="16">
        <v>45908</v>
      </c>
      <c r="J94" s="11">
        <v>2232</v>
      </c>
      <c r="K94" s="12" t="s">
        <v>294</v>
      </c>
      <c r="L94" s="16">
        <v>45642</v>
      </c>
      <c r="M94" s="12" t="s">
        <v>41</v>
      </c>
      <c r="N94" s="11" t="s">
        <v>42</v>
      </c>
      <c r="O94" s="28">
        <v>8134350.2000000002</v>
      </c>
      <c r="P94" s="2">
        <v>10</v>
      </c>
      <c r="Q94" s="25">
        <v>813435.02</v>
      </c>
      <c r="R94" s="28">
        <v>3722670.4618957299</v>
      </c>
      <c r="S94" s="28">
        <v>0</v>
      </c>
      <c r="T94" s="28">
        <v>4406716</v>
      </c>
      <c r="U94" s="25">
        <v>4963.7381042707711</v>
      </c>
      <c r="V94" s="18">
        <v>220336</v>
      </c>
      <c r="W94" s="13">
        <v>0</v>
      </c>
      <c r="X94" s="13">
        <f t="shared" si="2"/>
        <v>0</v>
      </c>
      <c r="Y94" s="13"/>
      <c r="Z94" s="31"/>
      <c r="AA94" s="27"/>
    </row>
    <row r="95" spans="2:27">
      <c r="F95"/>
      <c r="O95" s="32"/>
      <c r="Q95" s="33"/>
      <c r="R95" s="33"/>
      <c r="S95" s="33"/>
      <c r="T95" s="33"/>
      <c r="U95" s="34"/>
      <c r="V95" s="24"/>
    </row>
    <row r="96" spans="2:27">
      <c r="F96"/>
      <c r="O96" s="32"/>
      <c r="Q96" s="33"/>
      <c r="R96" s="33"/>
      <c r="S96" s="33"/>
      <c r="T96" s="33"/>
      <c r="V96" s="35">
        <f>SUBTOTAL(9,V11:V94)</f>
        <v>262927789.97</v>
      </c>
    </row>
    <row r="97" spans="6:22">
      <c r="F97"/>
      <c r="O97" s="32"/>
      <c r="Q97" s="33"/>
      <c r="R97" s="33"/>
      <c r="S97" s="33"/>
      <c r="T97" s="33"/>
    </row>
    <row r="98" spans="6:22">
      <c r="F98"/>
      <c r="V98" s="36"/>
    </row>
    <row r="99" spans="6:22">
      <c r="F99"/>
      <c r="G99"/>
      <c r="N99"/>
      <c r="V99" s="36"/>
    </row>
    <row r="100" spans="6:22">
      <c r="F100"/>
      <c r="G100"/>
      <c r="N100"/>
    </row>
    <row r="101" spans="6:22">
      <c r="F101"/>
      <c r="G101"/>
      <c r="N101"/>
    </row>
    <row r="102" spans="6:22">
      <c r="F102"/>
      <c r="G102"/>
      <c r="N102"/>
    </row>
    <row r="103" spans="6:22">
      <c r="F103"/>
      <c r="G103"/>
      <c r="N103"/>
    </row>
    <row r="104" spans="6:22">
      <c r="F104"/>
      <c r="G104"/>
      <c r="N104"/>
    </row>
    <row r="105" spans="6:22">
      <c r="F105"/>
      <c r="G105"/>
    </row>
    <row r="106" spans="6:22">
      <c r="F106"/>
      <c r="G106"/>
    </row>
    <row r="107" spans="6:22">
      <c r="F107"/>
      <c r="G107"/>
    </row>
    <row r="108" spans="6:22">
      <c r="F108"/>
      <c r="G108"/>
    </row>
    <row r="109" spans="6:22">
      <c r="F109"/>
      <c r="G109"/>
      <c r="L109"/>
      <c r="N109"/>
    </row>
    <row r="110" spans="6:22">
      <c r="F110"/>
      <c r="G110"/>
      <c r="L110"/>
      <c r="N110"/>
    </row>
    <row r="111" spans="6:22">
      <c r="F111"/>
      <c r="G111"/>
      <c r="L111"/>
      <c r="N111"/>
    </row>
    <row r="112" spans="6:22">
      <c r="F112"/>
      <c r="G112"/>
      <c r="L112"/>
      <c r="N112"/>
    </row>
    <row r="113" spans="6:14">
      <c r="F113"/>
      <c r="G113"/>
      <c r="L113"/>
      <c r="N113"/>
    </row>
    <row r="114" spans="6:14">
      <c r="F114"/>
      <c r="G114"/>
      <c r="L114"/>
      <c r="N114"/>
    </row>
    <row r="115" spans="6:14">
      <c r="F115"/>
      <c r="G115"/>
      <c r="L115"/>
      <c r="N115"/>
    </row>
    <row r="116" spans="6:14">
      <c r="F116"/>
      <c r="G116"/>
    </row>
    <row r="117" spans="6:14">
      <c r="F117"/>
      <c r="G117"/>
    </row>
    <row r="118" spans="6:14">
      <c r="F118"/>
      <c r="G118"/>
    </row>
    <row r="119" spans="6:14">
      <c r="F119"/>
      <c r="G119"/>
    </row>
    <row r="120" spans="6:14">
      <c r="F120"/>
      <c r="G120"/>
    </row>
    <row r="121" spans="6:14">
      <c r="F121"/>
      <c r="G121"/>
    </row>
    <row r="122" spans="6:14">
      <c r="F122"/>
      <c r="G122"/>
    </row>
    <row r="123" spans="6:14">
      <c r="F123"/>
      <c r="G123"/>
    </row>
    <row r="124" spans="6:14">
      <c r="F124"/>
      <c r="G124"/>
    </row>
    <row r="125" spans="6:14">
      <c r="F125"/>
      <c r="G125"/>
    </row>
    <row r="126" spans="6:14">
      <c r="F126"/>
      <c r="G126"/>
    </row>
    <row r="127" spans="6:14">
      <c r="F127"/>
      <c r="G127"/>
    </row>
    <row r="128" spans="6:14">
      <c r="F128"/>
      <c r="G128"/>
    </row>
    <row r="129" spans="6:7">
      <c r="F129"/>
      <c r="G129"/>
    </row>
    <row r="130" spans="6:7">
      <c r="F130"/>
      <c r="G130"/>
    </row>
    <row r="131" spans="6:7">
      <c r="F131"/>
      <c r="G131"/>
    </row>
    <row r="132" spans="6:7">
      <c r="F132"/>
      <c r="G132"/>
    </row>
    <row r="133" spans="6:7">
      <c r="F133"/>
      <c r="G133"/>
    </row>
    <row r="134" spans="6:7">
      <c r="F134"/>
      <c r="G134"/>
    </row>
    <row r="135" spans="6:7">
      <c r="F135"/>
      <c r="G135"/>
    </row>
    <row r="136" spans="6:7">
      <c r="F136"/>
      <c r="G136"/>
    </row>
    <row r="137" spans="6:7">
      <c r="F137"/>
      <c r="G137"/>
    </row>
    <row r="138" spans="6:7">
      <c r="F138"/>
      <c r="G138"/>
    </row>
    <row r="139" spans="6:7">
      <c r="F139"/>
      <c r="G139"/>
    </row>
    <row r="140" spans="6:7">
      <c r="F140"/>
      <c r="G140"/>
    </row>
    <row r="141" spans="6:7">
      <c r="F141"/>
      <c r="G141"/>
    </row>
    <row r="142" spans="6:7">
      <c r="F142"/>
      <c r="G142"/>
    </row>
    <row r="143" spans="6:7">
      <c r="F143"/>
      <c r="G143"/>
    </row>
    <row r="144" spans="6:7">
      <c r="F144"/>
      <c r="G144"/>
    </row>
    <row r="145" spans="6:7">
      <c r="F145"/>
      <c r="G145"/>
    </row>
    <row r="146" spans="6:7">
      <c r="F146"/>
      <c r="G146"/>
    </row>
    <row r="147" spans="6:7">
      <c r="F147"/>
      <c r="G147"/>
    </row>
    <row r="148" spans="6:7">
      <c r="F148"/>
      <c r="G148"/>
    </row>
    <row r="149" spans="6:7">
      <c r="F149"/>
      <c r="G149"/>
    </row>
    <row r="150" spans="6:7">
      <c r="F150"/>
      <c r="G150"/>
    </row>
    <row r="151" spans="6:7">
      <c r="F151"/>
      <c r="G151"/>
    </row>
    <row r="152" spans="6:7">
      <c r="F152"/>
      <c r="G152"/>
    </row>
    <row r="153" spans="6:7">
      <c r="F153"/>
      <c r="G153"/>
    </row>
    <row r="154" spans="6:7">
      <c r="F154"/>
      <c r="G154"/>
    </row>
    <row r="155" spans="6:7">
      <c r="F155"/>
      <c r="G155"/>
    </row>
    <row r="156" spans="6:7">
      <c r="F156"/>
      <c r="G156"/>
    </row>
    <row r="157" spans="6:7">
      <c r="F157"/>
      <c r="G157"/>
    </row>
    <row r="158" spans="6:7">
      <c r="F158"/>
      <c r="G158"/>
    </row>
    <row r="159" spans="6:7">
      <c r="F159"/>
      <c r="G159"/>
    </row>
    <row r="160" spans="6: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6:7">
      <c r="F273"/>
      <c r="G273"/>
    </row>
    <row r="274" spans="6:7">
      <c r="F274"/>
      <c r="G274"/>
    </row>
    <row r="275" spans="6:7">
      <c r="F275"/>
      <c r="G275"/>
    </row>
    <row r="276" spans="6:7">
      <c r="F276"/>
      <c r="G276"/>
    </row>
    <row r="277" spans="6:7">
      <c r="F277"/>
      <c r="G277"/>
    </row>
    <row r="278" spans="6:7">
      <c r="F278"/>
      <c r="G278"/>
    </row>
    <row r="279" spans="6:7">
      <c r="F279"/>
      <c r="G279"/>
    </row>
    <row r="280" spans="6:7">
      <c r="F280"/>
      <c r="G280"/>
    </row>
    <row r="281" spans="6:7">
      <c r="F281"/>
      <c r="G281"/>
    </row>
    <row r="282" spans="6:7">
      <c r="F282"/>
      <c r="G282"/>
    </row>
    <row r="283" spans="6:7">
      <c r="F283"/>
      <c r="G283"/>
    </row>
    <row r="284" spans="6:7">
      <c r="F284"/>
      <c r="G284"/>
    </row>
    <row r="285" spans="6:7">
      <c r="F285"/>
      <c r="G285"/>
    </row>
    <row r="286" spans="6:7">
      <c r="F286"/>
      <c r="G286"/>
    </row>
    <row r="287" spans="6:7">
      <c r="F287"/>
      <c r="G287"/>
    </row>
  </sheetData>
  <mergeCells count="19">
    <mergeCell ref="Y9:Y10"/>
    <mergeCell ref="O9:O10"/>
    <mergeCell ref="P9:Q9"/>
    <mergeCell ref="R9:U9"/>
    <mergeCell ref="V9:V10"/>
    <mergeCell ref="W9:W10"/>
    <mergeCell ref="X9:X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1500-8468-47D9-9936-AE5FF65697DC}">
  <sheetPr>
    <tabColor rgb="FF00B050"/>
  </sheetPr>
  <dimension ref="B2:AB288"/>
  <sheetViews>
    <sheetView showGridLines="0" zoomScale="70" zoomScaleNormal="70" workbookViewId="0">
      <pane xSplit="7" ySplit="10" topLeftCell="H11" activePane="bottomRight" state="frozen"/>
      <selection pane="bottomRight" activeCell="B11" sqref="B11:B98"/>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9" width="16.140625" customWidth="1"/>
    <col min="20" max="20" width="17.7109375" customWidth="1"/>
    <col min="21" max="22" width="18.85546875" customWidth="1"/>
    <col min="23" max="23" width="17.7109375" bestFit="1" customWidth="1"/>
    <col min="24" max="24" width="23.28515625" bestFit="1" customWidth="1"/>
    <col min="25" max="25" width="19.85546875" customWidth="1"/>
    <col min="26" max="26" width="21" customWidth="1"/>
    <col min="27" max="27" width="18.85546875" bestFit="1" customWidth="1"/>
  </cols>
  <sheetData>
    <row r="2" spans="2:28" ht="18">
      <c r="B2" s="8" t="s">
        <v>0</v>
      </c>
    </row>
    <row r="3" spans="2:28">
      <c r="B3" s="7" t="s">
        <v>1</v>
      </c>
      <c r="D3" s="9" t="s">
        <v>2</v>
      </c>
      <c r="E3" s="6"/>
    </row>
    <row r="4" spans="2:28">
      <c r="B4" s="7" t="s">
        <v>3</v>
      </c>
      <c r="D4" s="10" t="s">
        <v>303</v>
      </c>
      <c r="E4" s="5"/>
    </row>
    <row r="5" spans="2:28">
      <c r="B5" s="7" t="s">
        <v>6</v>
      </c>
      <c r="D5" s="10" t="s">
        <v>7</v>
      </c>
      <c r="E5" s="5"/>
    </row>
    <row r="7" spans="2:28">
      <c r="X7" s="19"/>
    </row>
    <row r="8" spans="2:28">
      <c r="G8"/>
      <c r="H8"/>
      <c r="I8"/>
      <c r="J8"/>
      <c r="L8"/>
      <c r="N8"/>
      <c r="T8" s="19"/>
    </row>
    <row r="9" spans="2:28"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551</v>
      </c>
      <c r="W9" s="37" t="s">
        <v>552</v>
      </c>
      <c r="X9" s="37" t="s">
        <v>25</v>
      </c>
      <c r="Y9" s="37" t="s">
        <v>550</v>
      </c>
      <c r="Z9" s="37" t="s">
        <v>27</v>
      </c>
    </row>
    <row r="10" spans="2:28"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c r="Z10" s="37"/>
    </row>
    <row r="11" spans="2:28">
      <c r="B11" s="11">
        <v>1</v>
      </c>
      <c r="C11" s="1" t="s">
        <v>304</v>
      </c>
      <c r="D11" s="1" t="s">
        <v>305</v>
      </c>
      <c r="E11" s="1" t="s">
        <v>306</v>
      </c>
      <c r="F11" s="29" t="s">
        <v>307</v>
      </c>
      <c r="G11" s="11">
        <v>2023</v>
      </c>
      <c r="H11" s="16">
        <v>45240</v>
      </c>
      <c r="I11" s="16">
        <v>45561</v>
      </c>
      <c r="J11" s="11" t="s">
        <v>308</v>
      </c>
      <c r="K11" s="12" t="s">
        <v>308</v>
      </c>
      <c r="L11" s="16">
        <v>45326</v>
      </c>
      <c r="M11" s="12" t="s">
        <v>213</v>
      </c>
      <c r="N11" s="11" t="s">
        <v>42</v>
      </c>
      <c r="O11" s="25">
        <v>222525596</v>
      </c>
      <c r="P11" s="2">
        <v>100</v>
      </c>
      <c r="Q11" s="25">
        <v>222525596</v>
      </c>
      <c r="R11" s="25">
        <v>111262798</v>
      </c>
      <c r="S11" s="25">
        <v>111262796</v>
      </c>
      <c r="T11" s="25">
        <v>0</v>
      </c>
      <c r="U11" s="25">
        <v>2</v>
      </c>
      <c r="V11" s="25">
        <v>22252560</v>
      </c>
      <c r="W11" s="13">
        <v>0</v>
      </c>
      <c r="X11" s="13">
        <v>0</v>
      </c>
      <c r="Y11" s="13">
        <f t="shared" ref="Y11:Y54" si="0">X11*20%</f>
        <v>0</v>
      </c>
      <c r="Z11" s="13"/>
      <c r="AA11" s="31"/>
      <c r="AB11" s="30"/>
    </row>
    <row r="12" spans="2:28">
      <c r="B12" s="11">
        <v>2</v>
      </c>
      <c r="C12" s="1" t="s">
        <v>309</v>
      </c>
      <c r="D12" s="1" t="s">
        <v>310</v>
      </c>
      <c r="E12" s="1" t="s">
        <v>311</v>
      </c>
      <c r="F12" s="29" t="s">
        <v>307</v>
      </c>
      <c r="G12" s="11">
        <v>2023</v>
      </c>
      <c r="H12" s="16">
        <v>45006</v>
      </c>
      <c r="I12" s="16">
        <v>45275</v>
      </c>
      <c r="J12" s="11" t="s">
        <v>308</v>
      </c>
      <c r="K12" s="12" t="s">
        <v>308</v>
      </c>
      <c r="L12" s="16">
        <v>45274</v>
      </c>
      <c r="M12" s="12" t="s">
        <v>41</v>
      </c>
      <c r="N12" s="11" t="s">
        <v>42</v>
      </c>
      <c r="O12" s="25">
        <v>220643767.80000001</v>
      </c>
      <c r="P12" s="2">
        <v>30</v>
      </c>
      <c r="Q12" s="25">
        <v>66193130.340000004</v>
      </c>
      <c r="R12" s="25">
        <v>110321883.90000001</v>
      </c>
      <c r="S12" s="25">
        <v>110321885</v>
      </c>
      <c r="T12" s="25">
        <v>0</v>
      </c>
      <c r="U12" s="25">
        <v>-1.0999999940395355</v>
      </c>
      <c r="V12" s="25">
        <v>22064377</v>
      </c>
      <c r="W12" s="13">
        <v>0</v>
      </c>
      <c r="X12" s="13">
        <v>70956232.200000003</v>
      </c>
      <c r="Y12" s="13">
        <f t="shared" si="0"/>
        <v>14191246.440000001</v>
      </c>
      <c r="Z12" s="13"/>
      <c r="AA12" s="31"/>
      <c r="AB12" s="30"/>
    </row>
    <row r="13" spans="2:28">
      <c r="B13" s="11">
        <v>3</v>
      </c>
      <c r="C13" s="1" t="s">
        <v>312</v>
      </c>
      <c r="D13" s="1" t="s">
        <v>313</v>
      </c>
      <c r="E13" s="1" t="s">
        <v>314</v>
      </c>
      <c r="F13" s="29" t="s">
        <v>307</v>
      </c>
      <c r="G13" s="11">
        <v>2023</v>
      </c>
      <c r="H13" s="16">
        <v>45166</v>
      </c>
      <c r="I13" s="16">
        <v>45531</v>
      </c>
      <c r="J13" s="11" t="s">
        <v>308</v>
      </c>
      <c r="K13" s="12" t="s">
        <v>308</v>
      </c>
      <c r="L13" s="16">
        <v>45530</v>
      </c>
      <c r="M13" s="12" t="s">
        <v>41</v>
      </c>
      <c r="N13" s="11" t="s">
        <v>42</v>
      </c>
      <c r="O13" s="25">
        <v>17279081</v>
      </c>
      <c r="P13" s="2">
        <v>49</v>
      </c>
      <c r="Q13" s="25">
        <v>8466749.6899999995</v>
      </c>
      <c r="R13" s="25">
        <v>8639540.4999999907</v>
      </c>
      <c r="S13" s="25">
        <v>8639541</v>
      </c>
      <c r="T13" s="25">
        <v>0</v>
      </c>
      <c r="U13" s="25">
        <v>-0.49999999068677425</v>
      </c>
      <c r="V13" s="25">
        <v>1727908</v>
      </c>
      <c r="W13" s="13">
        <v>0</v>
      </c>
      <c r="X13" s="13">
        <v>0</v>
      </c>
      <c r="Y13" s="13">
        <f t="shared" si="0"/>
        <v>0</v>
      </c>
      <c r="Z13" s="13"/>
      <c r="AA13" s="31"/>
      <c r="AB13" s="30"/>
    </row>
    <row r="14" spans="2:28">
      <c r="B14" s="11">
        <v>4</v>
      </c>
      <c r="C14" s="1" t="s">
        <v>315</v>
      </c>
      <c r="D14" s="1" t="s">
        <v>316</v>
      </c>
      <c r="E14" s="1" t="s">
        <v>317</v>
      </c>
      <c r="F14" s="29" t="s">
        <v>307</v>
      </c>
      <c r="G14" s="11">
        <v>2023</v>
      </c>
      <c r="H14" s="16">
        <v>45200</v>
      </c>
      <c r="I14" s="16">
        <v>45777</v>
      </c>
      <c r="J14" s="11" t="s">
        <v>308</v>
      </c>
      <c r="K14" s="12" t="s">
        <v>308</v>
      </c>
      <c r="L14" s="16">
        <v>45369</v>
      </c>
      <c r="M14" s="12" t="s">
        <v>41</v>
      </c>
      <c r="N14" s="11" t="s">
        <v>42</v>
      </c>
      <c r="O14" s="28">
        <v>134460186.5</v>
      </c>
      <c r="P14" s="2">
        <v>10</v>
      </c>
      <c r="Q14" s="25">
        <v>13446018.65</v>
      </c>
      <c r="R14" s="28">
        <v>35004618.392796099</v>
      </c>
      <c r="S14" s="28">
        <v>35004618</v>
      </c>
      <c r="T14" s="28">
        <v>0</v>
      </c>
      <c r="U14" s="25">
        <v>64450950.107203901</v>
      </c>
      <c r="V14" s="25">
        <v>7000924</v>
      </c>
      <c r="W14" s="18">
        <v>0</v>
      </c>
      <c r="X14" s="13">
        <v>0</v>
      </c>
      <c r="Y14" s="13">
        <f t="shared" si="0"/>
        <v>0</v>
      </c>
      <c r="Z14" s="13"/>
      <c r="AA14" s="31"/>
      <c r="AB14" s="30"/>
    </row>
    <row r="15" spans="2:28">
      <c r="B15" s="11">
        <v>5</v>
      </c>
      <c r="C15" s="1" t="s">
        <v>315</v>
      </c>
      <c r="D15" s="1" t="s">
        <v>316</v>
      </c>
      <c r="E15" s="1" t="s">
        <v>317</v>
      </c>
      <c r="F15" s="29" t="s">
        <v>307</v>
      </c>
      <c r="G15" s="11">
        <v>2023</v>
      </c>
      <c r="H15" s="16">
        <v>45200</v>
      </c>
      <c r="I15" s="16">
        <v>45777</v>
      </c>
      <c r="J15" s="11" t="s">
        <v>308</v>
      </c>
      <c r="K15" s="12" t="s">
        <v>308</v>
      </c>
      <c r="L15" s="16">
        <v>45369</v>
      </c>
      <c r="M15" s="12" t="s">
        <v>41</v>
      </c>
      <c r="N15" s="11" t="s">
        <v>42</v>
      </c>
      <c r="O15" s="28">
        <v>134460186.5</v>
      </c>
      <c r="P15" s="2">
        <v>10</v>
      </c>
      <c r="Q15" s="25">
        <v>13446018.65</v>
      </c>
      <c r="R15" s="28">
        <v>35004618.392796099</v>
      </c>
      <c r="S15" s="28">
        <v>0</v>
      </c>
      <c r="T15" s="28">
        <v>64450950</v>
      </c>
      <c r="U15" s="25">
        <v>35004618.107203901</v>
      </c>
      <c r="V15" s="25">
        <v>0</v>
      </c>
      <c r="W15" s="13">
        <v>12890190</v>
      </c>
      <c r="X15" s="13">
        <v>0</v>
      </c>
      <c r="Y15" s="13">
        <f t="shared" si="0"/>
        <v>0</v>
      </c>
      <c r="Z15" s="13"/>
      <c r="AA15" s="31"/>
      <c r="AB15" s="30"/>
    </row>
    <row r="16" spans="2:28">
      <c r="B16" s="11">
        <v>6</v>
      </c>
      <c r="C16" s="1" t="s">
        <v>318</v>
      </c>
      <c r="D16" s="1" t="s">
        <v>319</v>
      </c>
      <c r="E16" s="1" t="s">
        <v>320</v>
      </c>
      <c r="F16" s="29" t="s">
        <v>307</v>
      </c>
      <c r="G16" s="11">
        <v>2023</v>
      </c>
      <c r="H16" s="16">
        <v>45291</v>
      </c>
      <c r="I16" s="16">
        <v>45657</v>
      </c>
      <c r="J16" s="11">
        <v>2748</v>
      </c>
      <c r="K16" s="12" t="s">
        <v>321</v>
      </c>
      <c r="L16" s="16">
        <v>45373</v>
      </c>
      <c r="M16" s="12" t="s">
        <v>41</v>
      </c>
      <c r="N16" s="11" t="s">
        <v>42</v>
      </c>
      <c r="O16" s="25">
        <v>4665000</v>
      </c>
      <c r="P16" s="2">
        <v>10</v>
      </c>
      <c r="Q16" s="25">
        <v>466500</v>
      </c>
      <c r="R16" s="25">
        <v>2332500</v>
      </c>
      <c r="S16" s="25">
        <v>2332500</v>
      </c>
      <c r="T16" s="25">
        <v>0</v>
      </c>
      <c r="U16" s="25">
        <v>0</v>
      </c>
      <c r="V16" s="25">
        <v>466500</v>
      </c>
      <c r="W16" s="13">
        <v>0</v>
      </c>
      <c r="X16" s="13">
        <v>0</v>
      </c>
      <c r="Y16" s="13">
        <f t="shared" si="0"/>
        <v>0</v>
      </c>
      <c r="Z16" s="13"/>
      <c r="AA16" s="31"/>
      <c r="AB16" s="30"/>
    </row>
    <row r="17" spans="2:28">
      <c r="B17" s="11">
        <v>7</v>
      </c>
      <c r="C17" s="1" t="s">
        <v>322</v>
      </c>
      <c r="D17" s="1" t="s">
        <v>323</v>
      </c>
      <c r="E17" s="1" t="s">
        <v>324</v>
      </c>
      <c r="F17" s="29" t="s">
        <v>307</v>
      </c>
      <c r="G17" s="11">
        <v>2023</v>
      </c>
      <c r="H17" s="16">
        <v>45108</v>
      </c>
      <c r="I17" s="16">
        <v>45657</v>
      </c>
      <c r="J17" s="11">
        <v>2911</v>
      </c>
      <c r="K17" s="12" t="s">
        <v>325</v>
      </c>
      <c r="L17" s="16">
        <v>45563</v>
      </c>
      <c r="M17" s="12" t="s">
        <v>41</v>
      </c>
      <c r="N17" s="11" t="s">
        <v>42</v>
      </c>
      <c r="O17" s="28">
        <v>4647001</v>
      </c>
      <c r="P17" s="2">
        <v>5</v>
      </c>
      <c r="Q17" s="25">
        <v>232350.05000000002</v>
      </c>
      <c r="R17" s="28">
        <v>777957.75669642806</v>
      </c>
      <c r="S17" s="28">
        <v>130079</v>
      </c>
      <c r="T17" s="28">
        <v>0</v>
      </c>
      <c r="U17" s="25">
        <v>3738964.2433035718</v>
      </c>
      <c r="V17" s="25">
        <v>26016</v>
      </c>
      <c r="W17" s="18">
        <v>0</v>
      </c>
      <c r="X17" s="13">
        <v>0</v>
      </c>
      <c r="Y17" s="13">
        <f t="shared" si="0"/>
        <v>0</v>
      </c>
      <c r="Z17" s="13"/>
      <c r="AA17" s="31"/>
      <c r="AB17" s="30"/>
    </row>
    <row r="18" spans="2:28">
      <c r="B18" s="11">
        <v>8</v>
      </c>
      <c r="C18" s="1" t="s">
        <v>322</v>
      </c>
      <c r="D18" s="1" t="s">
        <v>323</v>
      </c>
      <c r="E18" s="1" t="s">
        <v>324</v>
      </c>
      <c r="F18" s="29" t="s">
        <v>307</v>
      </c>
      <c r="G18" s="11">
        <v>2023</v>
      </c>
      <c r="H18" s="16">
        <v>45108</v>
      </c>
      <c r="I18" s="16">
        <v>45657</v>
      </c>
      <c r="J18" s="11">
        <v>2911</v>
      </c>
      <c r="K18" s="12" t="s">
        <v>325</v>
      </c>
      <c r="L18" s="16">
        <v>45563</v>
      </c>
      <c r="M18" s="12" t="s">
        <v>41</v>
      </c>
      <c r="N18" s="11" t="s">
        <v>42</v>
      </c>
      <c r="O18" s="25">
        <v>4647001</v>
      </c>
      <c r="P18" s="2">
        <v>5</v>
      </c>
      <c r="Q18" s="25">
        <v>232350.05000000002</v>
      </c>
      <c r="R18" s="25">
        <v>777957.75669642806</v>
      </c>
      <c r="S18" s="25">
        <v>0</v>
      </c>
      <c r="T18" s="25">
        <v>516844</v>
      </c>
      <c r="U18" s="25">
        <v>3352199.2433035718</v>
      </c>
      <c r="V18" s="25">
        <v>0</v>
      </c>
      <c r="W18" s="13">
        <v>103369</v>
      </c>
      <c r="X18" s="13">
        <v>0</v>
      </c>
      <c r="Y18" s="13">
        <f t="shared" si="0"/>
        <v>0</v>
      </c>
      <c r="Z18" s="13"/>
      <c r="AA18" s="31"/>
      <c r="AB18" s="30"/>
    </row>
    <row r="19" spans="2:28">
      <c r="B19" s="11">
        <v>9</v>
      </c>
      <c r="C19" s="1" t="s">
        <v>326</v>
      </c>
      <c r="D19" s="1" t="s">
        <v>323</v>
      </c>
      <c r="E19" s="1" t="s">
        <v>324</v>
      </c>
      <c r="F19" s="29" t="s">
        <v>307</v>
      </c>
      <c r="G19" s="11">
        <v>2023</v>
      </c>
      <c r="H19" s="16">
        <v>45108</v>
      </c>
      <c r="I19" s="16">
        <v>45657</v>
      </c>
      <c r="J19" s="11">
        <v>2911</v>
      </c>
      <c r="K19" s="12" t="s">
        <v>325</v>
      </c>
      <c r="L19" s="16">
        <v>45610</v>
      </c>
      <c r="M19" s="12" t="s">
        <v>41</v>
      </c>
      <c r="N19" s="11" t="s">
        <v>42</v>
      </c>
      <c r="O19" s="25">
        <v>4647001</v>
      </c>
      <c r="P19" s="2">
        <v>5</v>
      </c>
      <c r="Q19" s="25">
        <v>232350.05000000002</v>
      </c>
      <c r="R19" s="25">
        <v>777957.75669642806</v>
      </c>
      <c r="S19" s="25">
        <v>647880</v>
      </c>
      <c r="T19" s="25">
        <v>0</v>
      </c>
      <c r="U19" s="25">
        <v>3221163.2433035718</v>
      </c>
      <c r="V19" s="25">
        <v>129576</v>
      </c>
      <c r="W19" s="13">
        <v>0</v>
      </c>
      <c r="X19" s="13">
        <v>0</v>
      </c>
      <c r="Y19" s="13">
        <f t="shared" si="0"/>
        <v>0</v>
      </c>
      <c r="Z19" s="13"/>
      <c r="AA19" s="31"/>
      <c r="AB19" s="30"/>
    </row>
    <row r="20" spans="2:28">
      <c r="B20" s="11">
        <v>10</v>
      </c>
      <c r="C20" s="1" t="s">
        <v>326</v>
      </c>
      <c r="D20" s="1" t="s">
        <v>323</v>
      </c>
      <c r="E20" s="1" t="s">
        <v>324</v>
      </c>
      <c r="F20" s="29" t="s">
        <v>307</v>
      </c>
      <c r="G20" s="11">
        <v>2023</v>
      </c>
      <c r="H20" s="16">
        <v>45108</v>
      </c>
      <c r="I20" s="16">
        <v>45657</v>
      </c>
      <c r="J20" s="11">
        <v>2911</v>
      </c>
      <c r="K20" s="12" t="s">
        <v>325</v>
      </c>
      <c r="L20" s="16">
        <v>45610</v>
      </c>
      <c r="M20" s="12" t="s">
        <v>41</v>
      </c>
      <c r="N20" s="11" t="s">
        <v>42</v>
      </c>
      <c r="O20" s="25">
        <v>4647001</v>
      </c>
      <c r="P20" s="2">
        <v>5</v>
      </c>
      <c r="Q20" s="25">
        <v>232350.05000000002</v>
      </c>
      <c r="R20" s="25">
        <v>777957.75669642806</v>
      </c>
      <c r="S20" s="25">
        <v>0</v>
      </c>
      <c r="T20" s="25">
        <v>2574242</v>
      </c>
      <c r="U20" s="25">
        <v>1294801.2433035718</v>
      </c>
      <c r="V20" s="25">
        <v>0</v>
      </c>
      <c r="W20" s="13">
        <v>514848</v>
      </c>
      <c r="X20" s="13">
        <v>0</v>
      </c>
      <c r="Y20" s="13">
        <f t="shared" si="0"/>
        <v>0</v>
      </c>
      <c r="Z20" s="13"/>
      <c r="AA20" s="31"/>
      <c r="AB20" s="30"/>
    </row>
    <row r="21" spans="2:28">
      <c r="B21" s="11">
        <v>11</v>
      </c>
      <c r="C21" s="1" t="s">
        <v>327</v>
      </c>
      <c r="D21" s="1" t="s">
        <v>328</v>
      </c>
      <c r="E21" s="1" t="s">
        <v>329</v>
      </c>
      <c r="F21" s="29" t="s">
        <v>307</v>
      </c>
      <c r="G21" s="11">
        <v>2023</v>
      </c>
      <c r="H21" s="16">
        <v>45240</v>
      </c>
      <c r="I21" s="16">
        <v>45606</v>
      </c>
      <c r="J21" s="11">
        <v>2028</v>
      </c>
      <c r="K21" s="12" t="s">
        <v>330</v>
      </c>
      <c r="L21" s="16">
        <v>45312</v>
      </c>
      <c r="M21" s="12" t="s">
        <v>41</v>
      </c>
      <c r="N21" s="11" t="s">
        <v>42</v>
      </c>
      <c r="O21" s="25">
        <v>7194734.4000000004</v>
      </c>
      <c r="P21" s="2">
        <v>20</v>
      </c>
      <c r="Q21" s="25">
        <v>1438946.8800000001</v>
      </c>
      <c r="R21" s="25">
        <v>3597367.2</v>
      </c>
      <c r="S21" s="25">
        <v>1660246</v>
      </c>
      <c r="T21" s="25">
        <v>0</v>
      </c>
      <c r="U21" s="25">
        <v>1937121.2000000002</v>
      </c>
      <c r="V21" s="25">
        <v>332049</v>
      </c>
      <c r="W21" s="13">
        <v>0</v>
      </c>
      <c r="X21" s="13">
        <v>0</v>
      </c>
      <c r="Y21" s="13">
        <f t="shared" si="0"/>
        <v>0</v>
      </c>
      <c r="Z21" s="13"/>
      <c r="AA21" s="31"/>
      <c r="AB21" s="30"/>
    </row>
    <row r="22" spans="2:28">
      <c r="B22" s="11">
        <v>12</v>
      </c>
      <c r="C22" s="1" t="s">
        <v>331</v>
      </c>
      <c r="D22" s="1" t="s">
        <v>328</v>
      </c>
      <c r="E22" s="1" t="s">
        <v>329</v>
      </c>
      <c r="F22" s="29" t="s">
        <v>307</v>
      </c>
      <c r="G22" s="11">
        <v>2023</v>
      </c>
      <c r="H22" s="16">
        <v>45240</v>
      </c>
      <c r="I22" s="16">
        <v>45606</v>
      </c>
      <c r="J22" s="11">
        <v>2028</v>
      </c>
      <c r="K22" s="12" t="s">
        <v>330</v>
      </c>
      <c r="L22" s="16">
        <v>45260</v>
      </c>
      <c r="M22" s="12" t="s">
        <v>41</v>
      </c>
      <c r="N22" s="11" t="s">
        <v>42</v>
      </c>
      <c r="O22" s="28">
        <v>7194734.4000000004</v>
      </c>
      <c r="P22" s="2">
        <v>20</v>
      </c>
      <c r="Q22" s="25">
        <v>1438946.8800000001</v>
      </c>
      <c r="R22" s="28">
        <v>3597367.2</v>
      </c>
      <c r="S22" s="28">
        <v>1018673</v>
      </c>
      <c r="T22" s="28">
        <v>0</v>
      </c>
      <c r="U22" s="25">
        <v>2578694.2000000002</v>
      </c>
      <c r="V22" s="25">
        <v>203735</v>
      </c>
      <c r="W22" s="18">
        <v>0</v>
      </c>
      <c r="X22" s="13">
        <v>0</v>
      </c>
      <c r="Y22" s="13">
        <f t="shared" si="0"/>
        <v>0</v>
      </c>
      <c r="Z22" s="13"/>
      <c r="AA22" s="31"/>
      <c r="AB22" s="30"/>
    </row>
    <row r="23" spans="2:28">
      <c r="B23" s="11">
        <v>13</v>
      </c>
      <c r="C23" s="1" t="s">
        <v>332</v>
      </c>
      <c r="D23" s="1" t="s">
        <v>328</v>
      </c>
      <c r="E23" s="1" t="s">
        <v>329</v>
      </c>
      <c r="F23" s="29" t="s">
        <v>307</v>
      </c>
      <c r="G23" s="11">
        <v>2023</v>
      </c>
      <c r="H23" s="16">
        <v>45240</v>
      </c>
      <c r="I23" s="16">
        <v>45606</v>
      </c>
      <c r="J23" s="11">
        <v>2028</v>
      </c>
      <c r="K23" s="12" t="s">
        <v>330</v>
      </c>
      <c r="L23" s="16">
        <v>45252</v>
      </c>
      <c r="M23" s="12" t="s">
        <v>41</v>
      </c>
      <c r="N23" s="11" t="s">
        <v>42</v>
      </c>
      <c r="O23" s="25">
        <v>7194734.4000000004</v>
      </c>
      <c r="P23" s="2">
        <v>20</v>
      </c>
      <c r="Q23" s="25">
        <v>1438946.8800000001</v>
      </c>
      <c r="R23" s="25">
        <v>3597367.2</v>
      </c>
      <c r="S23" s="25">
        <v>918447</v>
      </c>
      <c r="T23" s="25">
        <v>0</v>
      </c>
      <c r="U23" s="25">
        <v>2678920.2000000002</v>
      </c>
      <c r="V23" s="25">
        <v>183689</v>
      </c>
      <c r="W23" s="13">
        <v>0</v>
      </c>
      <c r="X23" s="13">
        <v>0</v>
      </c>
      <c r="Y23" s="13">
        <f t="shared" si="0"/>
        <v>0</v>
      </c>
      <c r="Z23" s="13"/>
      <c r="AA23" s="31"/>
      <c r="AB23" s="30"/>
    </row>
    <row r="24" spans="2:28">
      <c r="B24" s="11">
        <v>14</v>
      </c>
      <c r="C24" s="1" t="s">
        <v>333</v>
      </c>
      <c r="D24" s="1" t="s">
        <v>334</v>
      </c>
      <c r="E24" s="1" t="s">
        <v>335</v>
      </c>
      <c r="F24" s="29" t="s">
        <v>307</v>
      </c>
      <c r="G24" s="11">
        <v>2023</v>
      </c>
      <c r="H24" s="16">
        <v>45279</v>
      </c>
      <c r="I24" s="16">
        <v>45645</v>
      </c>
      <c r="J24" s="11">
        <v>2028</v>
      </c>
      <c r="K24" s="12" t="s">
        <v>336</v>
      </c>
      <c r="L24" s="16">
        <v>45574</v>
      </c>
      <c r="M24" s="12" t="s">
        <v>41</v>
      </c>
      <c r="N24" s="11" t="s">
        <v>42</v>
      </c>
      <c r="O24" s="25">
        <v>8250714.2999999998</v>
      </c>
      <c r="P24" s="2">
        <v>10</v>
      </c>
      <c r="Q24" s="25">
        <v>825071.43</v>
      </c>
      <c r="R24" s="25">
        <v>4125357.15</v>
      </c>
      <c r="S24" s="25">
        <v>1109137</v>
      </c>
      <c r="T24" s="25">
        <v>0</v>
      </c>
      <c r="U24" s="25">
        <v>3016220.15</v>
      </c>
      <c r="V24" s="25">
        <v>221827</v>
      </c>
      <c r="W24" s="13">
        <v>0</v>
      </c>
      <c r="X24" s="13">
        <v>0</v>
      </c>
      <c r="Y24" s="13">
        <f t="shared" si="0"/>
        <v>0</v>
      </c>
      <c r="Z24" s="13"/>
      <c r="AA24" s="31"/>
      <c r="AB24" s="30"/>
    </row>
    <row r="25" spans="2:28">
      <c r="B25" s="11">
        <v>15</v>
      </c>
      <c r="C25" s="1" t="s">
        <v>337</v>
      </c>
      <c r="D25" s="1" t="s">
        <v>334</v>
      </c>
      <c r="E25" s="1" t="s">
        <v>335</v>
      </c>
      <c r="F25" s="29" t="s">
        <v>307</v>
      </c>
      <c r="G25" s="11">
        <v>2023</v>
      </c>
      <c r="H25" s="16">
        <v>45279</v>
      </c>
      <c r="I25" s="16">
        <v>45645</v>
      </c>
      <c r="J25" s="11">
        <v>2028</v>
      </c>
      <c r="K25" s="12" t="s">
        <v>336</v>
      </c>
      <c r="L25" s="16">
        <v>45616</v>
      </c>
      <c r="M25" s="12" t="s">
        <v>41</v>
      </c>
      <c r="N25" s="11" t="s">
        <v>42</v>
      </c>
      <c r="O25" s="25">
        <v>8250714.2999999998</v>
      </c>
      <c r="P25" s="2">
        <v>10</v>
      </c>
      <c r="Q25" s="25">
        <v>825071.43</v>
      </c>
      <c r="R25" s="25">
        <v>4125357.15</v>
      </c>
      <c r="S25" s="25">
        <v>255500</v>
      </c>
      <c r="T25" s="25">
        <v>0</v>
      </c>
      <c r="U25" s="25">
        <v>3869857.15</v>
      </c>
      <c r="V25" s="25">
        <v>51100</v>
      </c>
      <c r="W25" s="13">
        <v>0</v>
      </c>
      <c r="X25" s="13">
        <v>0</v>
      </c>
      <c r="Y25" s="13">
        <f t="shared" si="0"/>
        <v>0</v>
      </c>
      <c r="Z25" s="13"/>
      <c r="AA25" s="31"/>
      <c r="AB25" s="30"/>
    </row>
    <row r="26" spans="2:28">
      <c r="B26" s="11">
        <v>16</v>
      </c>
      <c r="C26" s="1" t="s">
        <v>338</v>
      </c>
      <c r="D26" s="1" t="s">
        <v>334</v>
      </c>
      <c r="E26" s="1" t="s">
        <v>335</v>
      </c>
      <c r="F26" s="29" t="s">
        <v>307</v>
      </c>
      <c r="G26" s="11">
        <v>2023</v>
      </c>
      <c r="H26" s="16">
        <v>45279</v>
      </c>
      <c r="I26" s="16">
        <v>45645</v>
      </c>
      <c r="J26" s="11">
        <v>2028</v>
      </c>
      <c r="K26" s="12" t="s">
        <v>336</v>
      </c>
      <c r="L26" s="16">
        <v>45614</v>
      </c>
      <c r="M26" s="12" t="s">
        <v>41</v>
      </c>
      <c r="N26" s="11" t="s">
        <v>42</v>
      </c>
      <c r="O26" s="25">
        <v>8250714.2999999998</v>
      </c>
      <c r="P26" s="2">
        <v>10</v>
      </c>
      <c r="Q26" s="25">
        <v>825071.43</v>
      </c>
      <c r="R26" s="25">
        <v>4125357.15</v>
      </c>
      <c r="S26" s="25">
        <v>531982</v>
      </c>
      <c r="T26" s="25">
        <v>0</v>
      </c>
      <c r="U26" s="25">
        <v>3593375.15</v>
      </c>
      <c r="V26" s="25">
        <v>106396</v>
      </c>
      <c r="W26" s="13">
        <v>0</v>
      </c>
      <c r="X26" s="13">
        <v>0</v>
      </c>
      <c r="Y26" s="13">
        <f t="shared" si="0"/>
        <v>0</v>
      </c>
      <c r="Z26" s="13"/>
      <c r="AA26" s="31"/>
      <c r="AB26" s="30"/>
    </row>
    <row r="27" spans="2:28">
      <c r="B27" s="11">
        <v>17</v>
      </c>
      <c r="C27" s="1" t="s">
        <v>339</v>
      </c>
      <c r="D27" s="1" t="s">
        <v>334</v>
      </c>
      <c r="E27" s="1" t="s">
        <v>335</v>
      </c>
      <c r="F27" s="29" t="s">
        <v>307</v>
      </c>
      <c r="G27" s="11">
        <v>2023</v>
      </c>
      <c r="H27" s="16">
        <v>45279</v>
      </c>
      <c r="I27" s="16">
        <v>45645</v>
      </c>
      <c r="J27" s="11">
        <v>2028</v>
      </c>
      <c r="K27" s="12" t="s">
        <v>336</v>
      </c>
      <c r="L27" s="16">
        <v>45614</v>
      </c>
      <c r="M27" s="12" t="s">
        <v>41</v>
      </c>
      <c r="N27" s="11" t="s">
        <v>42</v>
      </c>
      <c r="O27" s="25">
        <v>8250714.2999999998</v>
      </c>
      <c r="P27" s="2">
        <v>10</v>
      </c>
      <c r="Q27" s="25">
        <v>825071.43</v>
      </c>
      <c r="R27" s="25">
        <v>4125357.15</v>
      </c>
      <c r="S27" s="25">
        <v>2228739</v>
      </c>
      <c r="T27" s="25">
        <v>0</v>
      </c>
      <c r="U27" s="25">
        <v>1896618.15</v>
      </c>
      <c r="V27" s="25">
        <v>445748</v>
      </c>
      <c r="W27" s="13">
        <v>0</v>
      </c>
      <c r="X27" s="13">
        <v>0</v>
      </c>
      <c r="Y27" s="13">
        <f t="shared" si="0"/>
        <v>0</v>
      </c>
      <c r="Z27" s="13"/>
      <c r="AA27" s="31"/>
      <c r="AB27" s="30"/>
    </row>
    <row r="28" spans="2:28">
      <c r="B28" s="11">
        <v>18</v>
      </c>
      <c r="C28" s="1" t="s">
        <v>340</v>
      </c>
      <c r="D28" s="1" t="s">
        <v>341</v>
      </c>
      <c r="E28" s="1" t="s">
        <v>342</v>
      </c>
      <c r="F28" s="29" t="s">
        <v>307</v>
      </c>
      <c r="G28" s="11">
        <v>2023</v>
      </c>
      <c r="H28" s="16">
        <v>45162</v>
      </c>
      <c r="I28" s="16">
        <v>45893</v>
      </c>
      <c r="J28" s="11" t="s">
        <v>308</v>
      </c>
      <c r="K28" s="12" t="s">
        <v>308</v>
      </c>
      <c r="L28" s="16">
        <v>45363</v>
      </c>
      <c r="M28" s="12" t="s">
        <v>41</v>
      </c>
      <c r="N28" s="11" t="s">
        <v>42</v>
      </c>
      <c r="O28" s="25">
        <v>720154950.5</v>
      </c>
      <c r="P28" s="2">
        <v>17.5</v>
      </c>
      <c r="Q28" s="25">
        <v>126027116.33749999</v>
      </c>
      <c r="R28" s="25">
        <v>144214902.41631699</v>
      </c>
      <c r="S28" s="25">
        <v>45653373</v>
      </c>
      <c r="T28" s="25">
        <v>0</v>
      </c>
      <c r="U28" s="25">
        <v>530286675.08368301</v>
      </c>
      <c r="V28" s="25">
        <v>9130675</v>
      </c>
      <c r="W28" s="13">
        <v>0</v>
      </c>
      <c r="X28" s="13">
        <v>0</v>
      </c>
      <c r="Y28" s="13">
        <f t="shared" si="0"/>
        <v>0</v>
      </c>
      <c r="Z28" s="13"/>
      <c r="AA28" s="31"/>
      <c r="AB28" s="30"/>
    </row>
    <row r="29" spans="2:28" s="14" customFormat="1">
      <c r="B29" s="11">
        <v>19</v>
      </c>
      <c r="C29" s="12" t="s">
        <v>340</v>
      </c>
      <c r="D29" s="12" t="s">
        <v>341</v>
      </c>
      <c r="E29" s="12" t="s">
        <v>342</v>
      </c>
      <c r="F29" s="29" t="s">
        <v>307</v>
      </c>
      <c r="G29" s="11">
        <v>2023</v>
      </c>
      <c r="H29" s="16">
        <v>45162</v>
      </c>
      <c r="I29" s="16">
        <v>45893</v>
      </c>
      <c r="J29" s="11" t="s">
        <v>308</v>
      </c>
      <c r="K29" s="12" t="s">
        <v>308</v>
      </c>
      <c r="L29" s="16">
        <v>45363</v>
      </c>
      <c r="M29" s="12" t="s">
        <v>41</v>
      </c>
      <c r="N29" s="11" t="s">
        <v>42</v>
      </c>
      <c r="O29" s="25">
        <v>720154950.5</v>
      </c>
      <c r="P29" s="2">
        <v>17.5</v>
      </c>
      <c r="Q29" s="25">
        <v>126027116.33749999</v>
      </c>
      <c r="R29" s="25">
        <v>144214902.41631699</v>
      </c>
      <c r="S29" s="25">
        <v>0</v>
      </c>
      <c r="T29" s="25">
        <v>136669018</v>
      </c>
      <c r="U29" s="25">
        <v>439271030.08368301</v>
      </c>
      <c r="V29" s="25">
        <v>0</v>
      </c>
      <c r="W29" s="13">
        <v>27333804</v>
      </c>
      <c r="X29" s="13">
        <v>0</v>
      </c>
      <c r="Y29" s="13">
        <f t="shared" si="0"/>
        <v>0</v>
      </c>
      <c r="Z29" s="13"/>
      <c r="AA29" s="31"/>
      <c r="AB29" s="30"/>
    </row>
    <row r="30" spans="2:28">
      <c r="B30" s="11">
        <v>20</v>
      </c>
      <c r="C30" s="1" t="s">
        <v>343</v>
      </c>
      <c r="D30" s="1" t="s">
        <v>341</v>
      </c>
      <c r="E30" s="1" t="s">
        <v>342</v>
      </c>
      <c r="F30" s="29" t="s">
        <v>307</v>
      </c>
      <c r="G30" s="11">
        <v>2023</v>
      </c>
      <c r="H30" s="16">
        <v>45162</v>
      </c>
      <c r="I30" s="16">
        <v>45893</v>
      </c>
      <c r="J30" s="11" t="s">
        <v>308</v>
      </c>
      <c r="K30" s="12" t="s">
        <v>308</v>
      </c>
      <c r="L30" s="16">
        <v>45407</v>
      </c>
      <c r="M30" s="12" t="s">
        <v>41</v>
      </c>
      <c r="N30" s="11" t="s">
        <v>42</v>
      </c>
      <c r="O30" s="25">
        <v>720154950.5</v>
      </c>
      <c r="P30" s="2">
        <v>17.5</v>
      </c>
      <c r="Q30" s="25">
        <v>126027116.33749999</v>
      </c>
      <c r="R30" s="25">
        <v>144214902.41631699</v>
      </c>
      <c r="S30" s="25">
        <v>49795210</v>
      </c>
      <c r="T30" s="25">
        <v>0</v>
      </c>
      <c r="U30" s="25">
        <v>526144838.08368301</v>
      </c>
      <c r="V30" s="25">
        <v>9959042</v>
      </c>
      <c r="W30" s="13">
        <v>0</v>
      </c>
      <c r="X30" s="13">
        <v>0</v>
      </c>
      <c r="Y30" s="13">
        <f t="shared" si="0"/>
        <v>0</v>
      </c>
      <c r="Z30" s="13"/>
      <c r="AA30" s="31"/>
      <c r="AB30" s="30"/>
    </row>
    <row r="31" spans="2:28">
      <c r="B31" s="11">
        <v>21</v>
      </c>
      <c r="C31" s="1" t="s">
        <v>343</v>
      </c>
      <c r="D31" s="1" t="s">
        <v>341</v>
      </c>
      <c r="E31" s="1" t="s">
        <v>342</v>
      </c>
      <c r="F31" s="29" t="s">
        <v>307</v>
      </c>
      <c r="G31" s="11">
        <v>2023</v>
      </c>
      <c r="H31" s="16">
        <v>45162</v>
      </c>
      <c r="I31" s="16">
        <v>45893</v>
      </c>
      <c r="J31" s="11" t="s">
        <v>308</v>
      </c>
      <c r="K31" s="12" t="s">
        <v>308</v>
      </c>
      <c r="L31" s="16">
        <v>45407</v>
      </c>
      <c r="M31" s="12" t="s">
        <v>41</v>
      </c>
      <c r="N31" s="11" t="s">
        <v>42</v>
      </c>
      <c r="O31" s="25">
        <v>720154950.5</v>
      </c>
      <c r="P31" s="2">
        <v>17.5</v>
      </c>
      <c r="Q31" s="25">
        <v>126027116.33749999</v>
      </c>
      <c r="R31" s="25">
        <v>144214902.41631699</v>
      </c>
      <c r="S31" s="25">
        <v>0</v>
      </c>
      <c r="T31" s="25">
        <v>149068120</v>
      </c>
      <c r="U31" s="25">
        <v>426871928.08368301</v>
      </c>
      <c r="V31" s="25">
        <v>0</v>
      </c>
      <c r="W31" s="13">
        <v>29813624</v>
      </c>
      <c r="X31" s="13">
        <v>0</v>
      </c>
      <c r="Y31" s="13">
        <f t="shared" si="0"/>
        <v>0</v>
      </c>
      <c r="Z31" s="13"/>
      <c r="AA31" s="31"/>
      <c r="AB31" s="30"/>
    </row>
    <row r="32" spans="2:28">
      <c r="B32" s="11">
        <v>22</v>
      </c>
      <c r="C32" s="1" t="s">
        <v>344</v>
      </c>
      <c r="D32" s="1" t="s">
        <v>341</v>
      </c>
      <c r="E32" s="1" t="s">
        <v>342</v>
      </c>
      <c r="F32" s="29" t="s">
        <v>307</v>
      </c>
      <c r="G32" s="11">
        <v>2023</v>
      </c>
      <c r="H32" s="16">
        <v>45162</v>
      </c>
      <c r="I32" s="16">
        <v>45893</v>
      </c>
      <c r="J32" s="11" t="s">
        <v>308</v>
      </c>
      <c r="K32" s="12" t="s">
        <v>308</v>
      </c>
      <c r="L32" s="16">
        <v>45412</v>
      </c>
      <c r="M32" s="12" t="s">
        <v>41</v>
      </c>
      <c r="N32" s="11" t="s">
        <v>42</v>
      </c>
      <c r="O32" s="25">
        <v>720154950.5</v>
      </c>
      <c r="P32" s="2">
        <v>17.5</v>
      </c>
      <c r="Q32" s="25">
        <v>126027116.33749999</v>
      </c>
      <c r="R32" s="25">
        <v>144214902.41631699</v>
      </c>
      <c r="S32" s="25">
        <v>48766318</v>
      </c>
      <c r="T32" s="25">
        <v>0</v>
      </c>
      <c r="U32" s="25">
        <v>527173730.08368301</v>
      </c>
      <c r="V32" s="25">
        <v>9753264</v>
      </c>
      <c r="W32" s="13">
        <v>0</v>
      </c>
      <c r="X32" s="13">
        <v>0</v>
      </c>
      <c r="Y32" s="13">
        <f t="shared" si="0"/>
        <v>0</v>
      </c>
      <c r="Z32" s="13"/>
      <c r="AA32" s="31"/>
      <c r="AB32" s="30"/>
    </row>
    <row r="33" spans="2:28">
      <c r="B33" s="11">
        <v>23</v>
      </c>
      <c r="C33" s="1" t="s">
        <v>344</v>
      </c>
      <c r="D33" s="1" t="s">
        <v>341</v>
      </c>
      <c r="E33" s="1" t="s">
        <v>342</v>
      </c>
      <c r="F33" s="29" t="s">
        <v>307</v>
      </c>
      <c r="G33" s="11">
        <v>2023</v>
      </c>
      <c r="H33" s="16">
        <v>45162</v>
      </c>
      <c r="I33" s="16">
        <v>45893</v>
      </c>
      <c r="J33" s="11" t="s">
        <v>308</v>
      </c>
      <c r="K33" s="12" t="s">
        <v>308</v>
      </c>
      <c r="L33" s="16">
        <v>45412</v>
      </c>
      <c r="M33" s="12" t="s">
        <v>41</v>
      </c>
      <c r="N33" s="11" t="s">
        <v>42</v>
      </c>
      <c r="O33" s="25">
        <v>720154950.5</v>
      </c>
      <c r="P33" s="2">
        <v>17.5</v>
      </c>
      <c r="Q33" s="25">
        <v>126027116.33749999</v>
      </c>
      <c r="R33" s="25">
        <v>144214902.41631699</v>
      </c>
      <c r="S33" s="25">
        <v>0</v>
      </c>
      <c r="T33" s="25">
        <v>145988005</v>
      </c>
      <c r="U33" s="25">
        <v>429952043.08368301</v>
      </c>
      <c r="V33" s="25">
        <v>0</v>
      </c>
      <c r="W33" s="13">
        <v>29197601</v>
      </c>
      <c r="X33" s="13">
        <v>0</v>
      </c>
      <c r="Y33" s="13">
        <f t="shared" si="0"/>
        <v>0</v>
      </c>
      <c r="Z33" s="13"/>
      <c r="AA33" s="31"/>
      <c r="AB33" s="30"/>
    </row>
    <row r="34" spans="2:28">
      <c r="B34" s="11">
        <v>24</v>
      </c>
      <c r="C34" s="1" t="s">
        <v>345</v>
      </c>
      <c r="D34" s="1" t="s">
        <v>346</v>
      </c>
      <c r="E34" s="1" t="s">
        <v>347</v>
      </c>
      <c r="F34" s="29" t="s">
        <v>307</v>
      </c>
      <c r="G34" s="11">
        <v>2023</v>
      </c>
      <c r="H34" s="16">
        <v>45062</v>
      </c>
      <c r="I34" s="16">
        <v>45572</v>
      </c>
      <c r="J34" s="11" t="s">
        <v>308</v>
      </c>
      <c r="K34" s="12" t="s">
        <v>308</v>
      </c>
      <c r="L34" s="16">
        <v>45366</v>
      </c>
      <c r="M34" s="12" t="s">
        <v>41</v>
      </c>
      <c r="N34" s="11" t="s">
        <v>42</v>
      </c>
      <c r="O34" s="25">
        <v>13573080</v>
      </c>
      <c r="P34" s="2">
        <v>10</v>
      </c>
      <c r="Q34" s="25">
        <v>1357308</v>
      </c>
      <c r="R34" s="25">
        <v>2948606.04146939</v>
      </c>
      <c r="S34" s="25">
        <v>2948606</v>
      </c>
      <c r="T34" s="25">
        <v>0</v>
      </c>
      <c r="U34" s="25">
        <v>7675867.9585306104</v>
      </c>
      <c r="V34" s="25">
        <v>589721</v>
      </c>
      <c r="W34" s="13">
        <v>0</v>
      </c>
      <c r="X34" s="13">
        <v>0</v>
      </c>
      <c r="Y34" s="13">
        <f t="shared" si="0"/>
        <v>0</v>
      </c>
      <c r="Z34" s="13"/>
      <c r="AA34" s="31"/>
      <c r="AB34" s="30"/>
    </row>
    <row r="35" spans="2:28">
      <c r="B35" s="11">
        <v>25</v>
      </c>
      <c r="C35" s="1" t="s">
        <v>345</v>
      </c>
      <c r="D35" s="1" t="s">
        <v>346</v>
      </c>
      <c r="E35" s="1" t="s">
        <v>347</v>
      </c>
      <c r="F35" s="29" t="s">
        <v>307</v>
      </c>
      <c r="G35" s="11">
        <v>2023</v>
      </c>
      <c r="H35" s="16">
        <v>45062</v>
      </c>
      <c r="I35" s="16">
        <v>45572</v>
      </c>
      <c r="J35" s="11" t="s">
        <v>308</v>
      </c>
      <c r="K35" s="12" t="s">
        <v>308</v>
      </c>
      <c r="L35" s="16">
        <v>45366</v>
      </c>
      <c r="M35" s="12" t="s">
        <v>41</v>
      </c>
      <c r="N35" s="11" t="s">
        <v>42</v>
      </c>
      <c r="O35" s="25">
        <v>13573080</v>
      </c>
      <c r="P35" s="2">
        <v>10</v>
      </c>
      <c r="Q35" s="25">
        <v>1357308</v>
      </c>
      <c r="R35" s="25">
        <v>2948606.04146939</v>
      </c>
      <c r="S35" s="25">
        <v>0</v>
      </c>
      <c r="T35" s="25">
        <v>7675868</v>
      </c>
      <c r="U35" s="25">
        <v>2948605.9585306104</v>
      </c>
      <c r="V35" s="25">
        <v>0</v>
      </c>
      <c r="W35" s="13">
        <v>1535174</v>
      </c>
      <c r="X35" s="13">
        <v>0</v>
      </c>
      <c r="Y35" s="13">
        <f t="shared" si="0"/>
        <v>0</v>
      </c>
      <c r="Z35" s="13"/>
      <c r="AA35" s="31"/>
      <c r="AB35" s="30"/>
    </row>
    <row r="36" spans="2:28">
      <c r="B36" s="11">
        <v>26</v>
      </c>
      <c r="C36" s="1" t="s">
        <v>348</v>
      </c>
      <c r="D36" s="1" t="s">
        <v>349</v>
      </c>
      <c r="E36" s="1" t="s">
        <v>350</v>
      </c>
      <c r="F36" s="29" t="s">
        <v>307</v>
      </c>
      <c r="G36" s="11">
        <v>2023</v>
      </c>
      <c r="H36" s="16">
        <v>45178</v>
      </c>
      <c r="I36" s="16">
        <v>45544</v>
      </c>
      <c r="J36" s="11">
        <v>2621</v>
      </c>
      <c r="K36" s="12" t="s">
        <v>351</v>
      </c>
      <c r="L36" s="16">
        <v>45289</v>
      </c>
      <c r="M36" s="12" t="s">
        <v>41</v>
      </c>
      <c r="N36" s="11" t="s">
        <v>42</v>
      </c>
      <c r="O36" s="25">
        <v>6237949</v>
      </c>
      <c r="P36" s="2">
        <v>5</v>
      </c>
      <c r="Q36" s="25">
        <v>311897.45</v>
      </c>
      <c r="R36" s="25">
        <v>3118974.5</v>
      </c>
      <c r="S36" s="25">
        <v>767250</v>
      </c>
      <c r="T36" s="25">
        <v>0</v>
      </c>
      <c r="U36" s="25">
        <v>2351724.5</v>
      </c>
      <c r="V36" s="25">
        <v>153450</v>
      </c>
      <c r="W36" s="13">
        <v>0</v>
      </c>
      <c r="X36" s="13">
        <v>0</v>
      </c>
      <c r="Y36" s="13">
        <f t="shared" si="0"/>
        <v>0</v>
      </c>
      <c r="Z36" s="13"/>
      <c r="AA36" s="31"/>
      <c r="AB36" s="30"/>
    </row>
    <row r="37" spans="2:28">
      <c r="B37" s="11">
        <v>27</v>
      </c>
      <c r="C37" s="1" t="s">
        <v>352</v>
      </c>
      <c r="D37" s="1" t="s">
        <v>349</v>
      </c>
      <c r="E37" s="1" t="s">
        <v>350</v>
      </c>
      <c r="F37" s="29" t="s">
        <v>307</v>
      </c>
      <c r="G37" s="11">
        <v>2023</v>
      </c>
      <c r="H37" s="16">
        <v>45178</v>
      </c>
      <c r="I37" s="16">
        <v>45544</v>
      </c>
      <c r="J37" s="11">
        <v>2621</v>
      </c>
      <c r="K37" s="12" t="s">
        <v>351</v>
      </c>
      <c r="L37" s="16">
        <v>45365</v>
      </c>
      <c r="M37" s="12" t="s">
        <v>41</v>
      </c>
      <c r="N37" s="11" t="s">
        <v>42</v>
      </c>
      <c r="O37" s="28">
        <v>6237949</v>
      </c>
      <c r="P37" s="2">
        <v>5</v>
      </c>
      <c r="Q37" s="25">
        <v>311897.45</v>
      </c>
      <c r="R37" s="28">
        <v>3118974.5</v>
      </c>
      <c r="S37" s="28">
        <v>2351724</v>
      </c>
      <c r="T37" s="28">
        <v>0</v>
      </c>
      <c r="U37" s="25">
        <v>767250.5</v>
      </c>
      <c r="V37" s="25">
        <v>470345</v>
      </c>
      <c r="W37" s="18">
        <v>0</v>
      </c>
      <c r="X37" s="13">
        <v>34591</v>
      </c>
      <c r="Y37" s="13">
        <f t="shared" si="0"/>
        <v>6918.2000000000007</v>
      </c>
      <c r="Z37" s="13"/>
      <c r="AA37" s="31"/>
      <c r="AB37" s="30"/>
    </row>
    <row r="38" spans="2:28">
      <c r="B38" s="11">
        <v>28</v>
      </c>
      <c r="C38" s="1" t="s">
        <v>378</v>
      </c>
      <c r="D38" s="1" t="s">
        <v>379</v>
      </c>
      <c r="E38" s="1" t="s">
        <v>380</v>
      </c>
      <c r="F38" s="29" t="s">
        <v>307</v>
      </c>
      <c r="G38" s="11">
        <v>2023</v>
      </c>
      <c r="H38" s="16">
        <v>45046</v>
      </c>
      <c r="I38" s="16">
        <v>45412</v>
      </c>
      <c r="J38" s="11" t="s">
        <v>308</v>
      </c>
      <c r="K38" s="12" t="s">
        <v>308</v>
      </c>
      <c r="L38" s="16">
        <v>45241</v>
      </c>
      <c r="M38" s="12" t="s">
        <v>190</v>
      </c>
      <c r="N38" s="11" t="s">
        <v>60</v>
      </c>
      <c r="O38" s="25">
        <v>49092.12</v>
      </c>
      <c r="P38" s="2">
        <v>100</v>
      </c>
      <c r="Q38" s="25">
        <v>49092.12</v>
      </c>
      <c r="R38" s="25">
        <v>14876.4</v>
      </c>
      <c r="S38" s="25">
        <v>14876.4</v>
      </c>
      <c r="T38" s="25">
        <v>0</v>
      </c>
      <c r="U38" s="25">
        <v>19339.32</v>
      </c>
      <c r="V38" s="25">
        <v>2975.28</v>
      </c>
      <c r="W38" s="13">
        <v>0</v>
      </c>
      <c r="X38" s="13">
        <v>118383236.750625</v>
      </c>
      <c r="Y38" s="13">
        <f t="shared" si="0"/>
        <v>23676647.350125</v>
      </c>
      <c r="Z38" s="13"/>
      <c r="AA38" s="31"/>
      <c r="AB38" s="30"/>
    </row>
    <row r="39" spans="2:28">
      <c r="B39" s="11">
        <v>29</v>
      </c>
      <c r="C39" s="1" t="s">
        <v>353</v>
      </c>
      <c r="D39" s="1" t="s">
        <v>354</v>
      </c>
      <c r="E39" s="1" t="s">
        <v>355</v>
      </c>
      <c r="F39" s="29" t="s">
        <v>307</v>
      </c>
      <c r="G39" s="11">
        <v>2023</v>
      </c>
      <c r="H39" s="16">
        <v>45291</v>
      </c>
      <c r="I39" s="16">
        <v>45657</v>
      </c>
      <c r="J39" s="11" t="s">
        <v>154</v>
      </c>
      <c r="K39" s="12" t="s">
        <v>155</v>
      </c>
      <c r="L39" s="16">
        <v>45365</v>
      </c>
      <c r="M39" s="12" t="s">
        <v>41</v>
      </c>
      <c r="N39" s="11" t="s">
        <v>42</v>
      </c>
      <c r="O39" s="28">
        <v>16471560</v>
      </c>
      <c r="P39" s="2">
        <v>10</v>
      </c>
      <c r="Q39" s="25">
        <v>1647156</v>
      </c>
      <c r="R39" s="28">
        <v>8235780</v>
      </c>
      <c r="S39" s="28">
        <v>8235781</v>
      </c>
      <c r="T39" s="28">
        <v>0</v>
      </c>
      <c r="U39" s="25">
        <v>-1</v>
      </c>
      <c r="V39" s="25">
        <v>1647156</v>
      </c>
      <c r="W39" s="18">
        <v>0</v>
      </c>
      <c r="X39" s="13">
        <v>0</v>
      </c>
      <c r="Y39" s="13">
        <f t="shared" si="0"/>
        <v>0</v>
      </c>
      <c r="Z39" s="13"/>
      <c r="AA39" s="31"/>
      <c r="AB39" s="30"/>
    </row>
    <row r="40" spans="2:28">
      <c r="B40" s="11">
        <v>30</v>
      </c>
      <c r="C40" s="1" t="s">
        <v>356</v>
      </c>
      <c r="D40" s="1" t="s">
        <v>357</v>
      </c>
      <c r="E40" s="1" t="s">
        <v>358</v>
      </c>
      <c r="F40" s="29" t="s">
        <v>307</v>
      </c>
      <c r="G40" s="11">
        <v>2023</v>
      </c>
      <c r="H40" s="16">
        <v>45291</v>
      </c>
      <c r="I40" s="16">
        <v>45657</v>
      </c>
      <c r="J40" s="11">
        <v>23002</v>
      </c>
      <c r="K40" s="12" t="s">
        <v>359</v>
      </c>
      <c r="L40" s="16">
        <v>45355</v>
      </c>
      <c r="M40" s="12" t="s">
        <v>41</v>
      </c>
      <c r="N40" s="11" t="s">
        <v>42</v>
      </c>
      <c r="O40" s="25">
        <v>1739831.92</v>
      </c>
      <c r="P40" s="2">
        <v>20</v>
      </c>
      <c r="Q40" s="25">
        <v>347966.38400000002</v>
      </c>
      <c r="R40" s="25">
        <v>869915.96</v>
      </c>
      <c r="S40" s="25">
        <v>869915</v>
      </c>
      <c r="T40" s="25">
        <v>0</v>
      </c>
      <c r="U40" s="25">
        <v>0.9599999999627471</v>
      </c>
      <c r="V40" s="25">
        <v>173983</v>
      </c>
      <c r="W40" s="13">
        <v>0</v>
      </c>
      <c r="X40" s="13">
        <v>0</v>
      </c>
      <c r="Y40" s="13">
        <f t="shared" si="0"/>
        <v>0</v>
      </c>
      <c r="Z40" s="13"/>
      <c r="AA40" s="31"/>
      <c r="AB40" s="30"/>
    </row>
    <row r="41" spans="2:28">
      <c r="B41" s="11">
        <v>31</v>
      </c>
      <c r="C41" s="1" t="s">
        <v>378</v>
      </c>
      <c r="D41" s="1" t="s">
        <v>379</v>
      </c>
      <c r="E41" s="1" t="s">
        <v>380</v>
      </c>
      <c r="F41" s="29" t="s">
        <v>307</v>
      </c>
      <c r="G41" s="11">
        <v>2023</v>
      </c>
      <c r="H41" s="16">
        <v>45046</v>
      </c>
      <c r="I41" s="16">
        <v>45412</v>
      </c>
      <c r="J41" s="11" t="s">
        <v>308</v>
      </c>
      <c r="K41" s="12" t="s">
        <v>308</v>
      </c>
      <c r="L41" s="16">
        <v>45241</v>
      </c>
      <c r="M41" s="12" t="s">
        <v>190</v>
      </c>
      <c r="N41" s="11" t="s">
        <v>60</v>
      </c>
      <c r="O41" s="25">
        <v>49092.12</v>
      </c>
      <c r="P41" s="2">
        <v>100</v>
      </c>
      <c r="Q41" s="25">
        <v>49092.12</v>
      </c>
      <c r="R41" s="25">
        <v>14876.4</v>
      </c>
      <c r="S41" s="28">
        <v>0</v>
      </c>
      <c r="T41" s="28">
        <v>19339.32</v>
      </c>
      <c r="U41" s="25">
        <v>14876.400000000001</v>
      </c>
      <c r="V41" s="25">
        <v>0</v>
      </c>
      <c r="W41" s="18">
        <v>3867.86</v>
      </c>
      <c r="X41" s="13">
        <v>118383236.750625</v>
      </c>
      <c r="Y41" s="13">
        <f t="shared" si="0"/>
        <v>23676647.350125</v>
      </c>
      <c r="Z41" s="13"/>
      <c r="AA41" s="31"/>
      <c r="AB41" s="30"/>
    </row>
    <row r="42" spans="2:28" s="14" customFormat="1">
      <c r="B42" s="11">
        <v>32</v>
      </c>
      <c r="C42" s="1" t="s">
        <v>352</v>
      </c>
      <c r="D42" s="1" t="s">
        <v>349</v>
      </c>
      <c r="E42" s="1" t="s">
        <v>350</v>
      </c>
      <c r="F42" s="29" t="s">
        <v>307</v>
      </c>
      <c r="G42" s="11">
        <v>2023</v>
      </c>
      <c r="H42" s="16">
        <v>45178</v>
      </c>
      <c r="I42" s="16">
        <v>45544</v>
      </c>
      <c r="J42" s="11">
        <v>2621</v>
      </c>
      <c r="K42" s="12" t="s">
        <v>351</v>
      </c>
      <c r="L42" s="16">
        <v>45365</v>
      </c>
      <c r="M42" s="12" t="s">
        <v>41</v>
      </c>
      <c r="N42" s="11" t="s">
        <v>60</v>
      </c>
      <c r="O42" s="25">
        <v>4699.24</v>
      </c>
      <c r="P42" s="2">
        <v>5</v>
      </c>
      <c r="Q42" s="25">
        <v>234.96199999999999</v>
      </c>
      <c r="R42" s="25">
        <v>2349.62</v>
      </c>
      <c r="S42" s="25">
        <v>2349.61</v>
      </c>
      <c r="T42" s="25">
        <v>0</v>
      </c>
      <c r="U42" s="25">
        <v>9.9999999997635314E-3</v>
      </c>
      <c r="V42" s="25">
        <v>469.92</v>
      </c>
      <c r="W42" s="13">
        <v>0</v>
      </c>
      <c r="X42" s="13">
        <v>34591</v>
      </c>
      <c r="Y42" s="13">
        <f t="shared" si="0"/>
        <v>6918.2000000000007</v>
      </c>
      <c r="Z42" s="13"/>
      <c r="AA42" s="31"/>
      <c r="AB42" s="30"/>
    </row>
    <row r="43" spans="2:28">
      <c r="B43" s="11">
        <v>33</v>
      </c>
      <c r="C43" s="1" t="s">
        <v>363</v>
      </c>
      <c r="D43" s="1" t="s">
        <v>364</v>
      </c>
      <c r="E43" s="1" t="s">
        <v>169</v>
      </c>
      <c r="F43" s="29" t="s">
        <v>307</v>
      </c>
      <c r="G43" s="11">
        <v>2023</v>
      </c>
      <c r="H43" s="16">
        <v>45291</v>
      </c>
      <c r="I43" s="16">
        <v>45657</v>
      </c>
      <c r="J43" s="11">
        <v>23002</v>
      </c>
      <c r="K43" s="12" t="s">
        <v>159</v>
      </c>
      <c r="L43" s="16">
        <v>45353</v>
      </c>
      <c r="M43" s="12" t="s">
        <v>41</v>
      </c>
      <c r="N43" s="11" t="s">
        <v>42</v>
      </c>
      <c r="O43" s="25">
        <v>17229347.609999999</v>
      </c>
      <c r="P43" s="2">
        <v>20</v>
      </c>
      <c r="Q43" s="25">
        <v>3445869.5219999999</v>
      </c>
      <c r="R43" s="25">
        <v>8614673.8049999997</v>
      </c>
      <c r="S43" s="25">
        <v>3854542</v>
      </c>
      <c r="T43" s="25">
        <v>0</v>
      </c>
      <c r="U43" s="25">
        <v>4760131.8049999997</v>
      </c>
      <c r="V43" s="25">
        <v>770908</v>
      </c>
      <c r="W43" s="13">
        <v>0</v>
      </c>
      <c r="X43" s="13">
        <v>0</v>
      </c>
      <c r="Y43" s="13">
        <f t="shared" si="0"/>
        <v>0</v>
      </c>
      <c r="Z43" s="13"/>
      <c r="AA43" s="31"/>
      <c r="AB43" s="30"/>
    </row>
    <row r="44" spans="2:28">
      <c r="B44" s="11">
        <v>34</v>
      </c>
      <c r="C44" s="1" t="s">
        <v>363</v>
      </c>
      <c r="D44" s="1" t="s">
        <v>364</v>
      </c>
      <c r="E44" s="1" t="s">
        <v>169</v>
      </c>
      <c r="F44" s="29" t="s">
        <v>307</v>
      </c>
      <c r="G44" s="11">
        <v>2023</v>
      </c>
      <c r="H44" s="16">
        <v>45291</v>
      </c>
      <c r="I44" s="16">
        <v>45657</v>
      </c>
      <c r="J44" s="11">
        <v>23002</v>
      </c>
      <c r="K44" s="12" t="s">
        <v>159</v>
      </c>
      <c r="L44" s="16">
        <v>45353</v>
      </c>
      <c r="M44" s="12" t="s">
        <v>41</v>
      </c>
      <c r="N44" s="11" t="s">
        <v>60</v>
      </c>
      <c r="O44" s="25">
        <v>13124.65</v>
      </c>
      <c r="P44" s="2">
        <v>20</v>
      </c>
      <c r="Q44" s="25">
        <v>2624.9300000000003</v>
      </c>
      <c r="R44" s="25">
        <v>5768.43</v>
      </c>
      <c r="S44" s="25">
        <v>3777.66</v>
      </c>
      <c r="T44" s="25">
        <v>0</v>
      </c>
      <c r="U44" s="25">
        <v>3578.5599999999995</v>
      </c>
      <c r="V44" s="25">
        <v>755.53</v>
      </c>
      <c r="W44" s="13">
        <v>0</v>
      </c>
      <c r="X44" s="13">
        <v>0</v>
      </c>
      <c r="Y44" s="13">
        <f t="shared" si="0"/>
        <v>0</v>
      </c>
      <c r="Z44" s="13"/>
      <c r="AA44" s="31"/>
      <c r="AB44" s="30"/>
    </row>
    <row r="45" spans="2:28">
      <c r="B45" s="11">
        <v>35</v>
      </c>
      <c r="C45" s="1" t="s">
        <v>365</v>
      </c>
      <c r="D45" s="1" t="s">
        <v>364</v>
      </c>
      <c r="E45" s="1" t="s">
        <v>169</v>
      </c>
      <c r="F45" s="29" t="s">
        <v>307</v>
      </c>
      <c r="G45" s="11">
        <v>2023</v>
      </c>
      <c r="H45" s="16">
        <v>45291</v>
      </c>
      <c r="I45" s="16">
        <v>45657</v>
      </c>
      <c r="J45" s="11">
        <v>23002</v>
      </c>
      <c r="K45" s="12" t="s">
        <v>159</v>
      </c>
      <c r="L45" s="16">
        <v>45474</v>
      </c>
      <c r="M45" s="12" t="s">
        <v>41</v>
      </c>
      <c r="N45" s="11" t="s">
        <v>42</v>
      </c>
      <c r="O45" s="25">
        <v>17229347.609999999</v>
      </c>
      <c r="P45" s="2">
        <v>20</v>
      </c>
      <c r="Q45" s="25">
        <v>3445869.5219999999</v>
      </c>
      <c r="R45" s="25">
        <v>8614673.8049999997</v>
      </c>
      <c r="S45" s="25">
        <v>3364817</v>
      </c>
      <c r="T45" s="25">
        <v>0</v>
      </c>
      <c r="U45" s="25">
        <v>5249856.8049999997</v>
      </c>
      <c r="V45" s="25">
        <v>672964</v>
      </c>
      <c r="W45" s="13">
        <v>0</v>
      </c>
      <c r="X45" s="13">
        <v>0</v>
      </c>
      <c r="Y45" s="13">
        <f t="shared" si="0"/>
        <v>0</v>
      </c>
      <c r="Z45" s="13"/>
      <c r="AA45" s="31"/>
      <c r="AB45" s="30"/>
    </row>
    <row r="46" spans="2:28">
      <c r="B46" s="11">
        <v>36</v>
      </c>
      <c r="C46" s="1" t="s">
        <v>365</v>
      </c>
      <c r="D46" s="1" t="s">
        <v>364</v>
      </c>
      <c r="E46" s="1" t="s">
        <v>169</v>
      </c>
      <c r="F46" s="29" t="s">
        <v>307</v>
      </c>
      <c r="G46" s="11">
        <v>2023</v>
      </c>
      <c r="H46" s="16">
        <v>45291</v>
      </c>
      <c r="I46" s="16">
        <v>45657</v>
      </c>
      <c r="J46" s="11">
        <v>23002</v>
      </c>
      <c r="K46" s="12" t="s">
        <v>159</v>
      </c>
      <c r="L46" s="16">
        <v>45474</v>
      </c>
      <c r="M46" s="12" t="s">
        <v>41</v>
      </c>
      <c r="N46" s="11" t="s">
        <v>60</v>
      </c>
      <c r="O46" s="25">
        <v>13124.65</v>
      </c>
      <c r="P46" s="2">
        <v>20</v>
      </c>
      <c r="Q46" s="25">
        <v>2624.9300000000003</v>
      </c>
      <c r="R46" s="25">
        <v>5768.43</v>
      </c>
      <c r="S46" s="25">
        <v>3156.74</v>
      </c>
      <c r="T46" s="25">
        <v>0</v>
      </c>
      <c r="U46" s="25">
        <v>4199.4799999999996</v>
      </c>
      <c r="V46" s="25">
        <v>631.35</v>
      </c>
      <c r="W46" s="13">
        <v>0</v>
      </c>
      <c r="X46" s="13">
        <v>0</v>
      </c>
      <c r="Y46" s="13">
        <f t="shared" si="0"/>
        <v>0</v>
      </c>
      <c r="Z46" s="13"/>
      <c r="AA46" s="31"/>
      <c r="AB46" s="30"/>
    </row>
    <row r="47" spans="2:28">
      <c r="B47" s="11">
        <v>37</v>
      </c>
      <c r="C47" s="1" t="s">
        <v>366</v>
      </c>
      <c r="D47" s="1" t="s">
        <v>364</v>
      </c>
      <c r="E47" s="1" t="s">
        <v>169</v>
      </c>
      <c r="F47" s="29" t="s">
        <v>307</v>
      </c>
      <c r="G47" s="11">
        <v>2023</v>
      </c>
      <c r="H47" s="16">
        <v>45291</v>
      </c>
      <c r="I47" s="16">
        <v>45657</v>
      </c>
      <c r="J47" s="11">
        <v>23002</v>
      </c>
      <c r="K47" s="12" t="s">
        <v>159</v>
      </c>
      <c r="L47" s="16">
        <v>45489</v>
      </c>
      <c r="M47" s="12" t="s">
        <v>41</v>
      </c>
      <c r="N47" s="11" t="s">
        <v>42</v>
      </c>
      <c r="O47" s="25">
        <v>17229347.609999999</v>
      </c>
      <c r="P47" s="2">
        <v>20</v>
      </c>
      <c r="Q47" s="25">
        <v>3445869.5219999999</v>
      </c>
      <c r="R47" s="25">
        <v>8614673.8049999997</v>
      </c>
      <c r="S47" s="25">
        <v>1395314</v>
      </c>
      <c r="T47" s="25">
        <v>0</v>
      </c>
      <c r="U47" s="25">
        <v>7219359.8049999997</v>
      </c>
      <c r="V47" s="25">
        <v>279063</v>
      </c>
      <c r="W47" s="13">
        <v>0</v>
      </c>
      <c r="X47" s="13">
        <v>0</v>
      </c>
      <c r="Y47" s="13">
        <f t="shared" si="0"/>
        <v>0</v>
      </c>
      <c r="Z47" s="13"/>
      <c r="AA47" s="31"/>
      <c r="AB47" s="30"/>
    </row>
    <row r="48" spans="2:28">
      <c r="B48" s="11">
        <v>38</v>
      </c>
      <c r="C48" s="1" t="s">
        <v>367</v>
      </c>
      <c r="D48" s="1" t="s">
        <v>368</v>
      </c>
      <c r="E48" s="1" t="s">
        <v>369</v>
      </c>
      <c r="F48" s="29" t="s">
        <v>307</v>
      </c>
      <c r="G48" s="11">
        <v>2023</v>
      </c>
      <c r="H48" s="16">
        <v>45291</v>
      </c>
      <c r="I48" s="16">
        <v>45657</v>
      </c>
      <c r="J48" s="11">
        <v>29371</v>
      </c>
      <c r="K48" s="12" t="s">
        <v>370</v>
      </c>
      <c r="L48" s="16">
        <v>45520</v>
      </c>
      <c r="M48" s="12" t="s">
        <v>41</v>
      </c>
      <c r="N48" s="11" t="s">
        <v>42</v>
      </c>
      <c r="O48" s="25">
        <v>1409000</v>
      </c>
      <c r="P48" s="2">
        <v>20</v>
      </c>
      <c r="Q48" s="25">
        <v>281800</v>
      </c>
      <c r="R48" s="25">
        <v>704500</v>
      </c>
      <c r="S48" s="25">
        <v>704500</v>
      </c>
      <c r="T48" s="25">
        <v>0</v>
      </c>
      <c r="U48" s="25">
        <v>0</v>
      </c>
      <c r="V48" s="25">
        <v>140900</v>
      </c>
      <c r="W48" s="13">
        <v>0</v>
      </c>
      <c r="X48" s="13">
        <v>0</v>
      </c>
      <c r="Y48" s="13">
        <f t="shared" si="0"/>
        <v>0</v>
      </c>
      <c r="Z48" s="13"/>
      <c r="AA48" s="31"/>
      <c r="AB48" s="30"/>
    </row>
    <row r="49" spans="2:28">
      <c r="B49" s="11">
        <v>39</v>
      </c>
      <c r="C49" s="1" t="s">
        <v>371</v>
      </c>
      <c r="D49" s="1" t="s">
        <v>372</v>
      </c>
      <c r="E49" s="1" t="s">
        <v>373</v>
      </c>
      <c r="F49" s="29" t="s">
        <v>307</v>
      </c>
      <c r="G49" s="11">
        <v>2023</v>
      </c>
      <c r="H49" s="16">
        <v>44927</v>
      </c>
      <c r="I49" s="16">
        <v>45292</v>
      </c>
      <c r="J49" s="11" t="e">
        <v>#NAME?</v>
      </c>
      <c r="K49" s="12" t="s">
        <v>374</v>
      </c>
      <c r="L49" s="16">
        <v>44951</v>
      </c>
      <c r="M49" s="12" t="s">
        <v>41</v>
      </c>
      <c r="N49" s="11" t="s">
        <v>42</v>
      </c>
      <c r="O49" s="25">
        <v>4723814.3499999996</v>
      </c>
      <c r="P49" s="2">
        <v>5</v>
      </c>
      <c r="Q49" s="25">
        <v>236190.7175</v>
      </c>
      <c r="R49" s="25">
        <v>2361907.1749999998</v>
      </c>
      <c r="S49" s="25">
        <v>2361906</v>
      </c>
      <c r="T49" s="25">
        <v>0</v>
      </c>
      <c r="U49" s="25">
        <v>1.1749999998137355</v>
      </c>
      <c r="V49" s="25">
        <v>472381</v>
      </c>
      <c r="W49" s="13">
        <v>0</v>
      </c>
      <c r="X49" s="13">
        <v>0</v>
      </c>
      <c r="Y49" s="13">
        <f t="shared" si="0"/>
        <v>0</v>
      </c>
      <c r="Z49" s="13"/>
      <c r="AA49" s="31"/>
      <c r="AB49" s="30"/>
    </row>
    <row r="50" spans="2:28">
      <c r="B50" s="11">
        <v>40</v>
      </c>
      <c r="C50" s="1" t="s">
        <v>375</v>
      </c>
      <c r="D50" s="1" t="s">
        <v>372</v>
      </c>
      <c r="E50" s="1" t="s">
        <v>373</v>
      </c>
      <c r="F50" s="29" t="s">
        <v>307</v>
      </c>
      <c r="G50" s="11">
        <v>2023</v>
      </c>
      <c r="H50" s="16">
        <v>44927</v>
      </c>
      <c r="I50" s="16">
        <v>45292</v>
      </c>
      <c r="J50" s="11" t="e">
        <v>#NAME?</v>
      </c>
      <c r="K50" s="12" t="s">
        <v>374</v>
      </c>
      <c r="L50" s="16">
        <v>45127</v>
      </c>
      <c r="M50" s="12" t="s">
        <v>41</v>
      </c>
      <c r="N50" s="11" t="s">
        <v>42</v>
      </c>
      <c r="O50" s="28">
        <v>1250000</v>
      </c>
      <c r="P50" s="2">
        <v>5</v>
      </c>
      <c r="Q50" s="25">
        <v>62500</v>
      </c>
      <c r="R50" s="28">
        <v>625000</v>
      </c>
      <c r="S50" s="28">
        <v>625000</v>
      </c>
      <c r="T50" s="28">
        <v>0</v>
      </c>
      <c r="U50" s="25">
        <v>0</v>
      </c>
      <c r="V50" s="25">
        <v>125000</v>
      </c>
      <c r="W50" s="18">
        <v>0</v>
      </c>
      <c r="X50" s="13">
        <v>0</v>
      </c>
      <c r="Y50" s="13">
        <f t="shared" si="0"/>
        <v>0</v>
      </c>
      <c r="Z50" s="13"/>
      <c r="AA50" s="31"/>
      <c r="AB50" s="30"/>
    </row>
    <row r="51" spans="2:28">
      <c r="B51" s="11">
        <v>41</v>
      </c>
      <c r="C51" s="1" t="s">
        <v>376</v>
      </c>
      <c r="D51" s="1" t="s">
        <v>372</v>
      </c>
      <c r="E51" s="1" t="s">
        <v>373</v>
      </c>
      <c r="F51" s="29" t="s">
        <v>307</v>
      </c>
      <c r="G51" s="11">
        <v>2023</v>
      </c>
      <c r="H51" s="16">
        <v>44927</v>
      </c>
      <c r="I51" s="16">
        <v>45292</v>
      </c>
      <c r="J51" s="11" t="e">
        <v>#NAME?</v>
      </c>
      <c r="K51" s="12" t="s">
        <v>374</v>
      </c>
      <c r="L51" s="16">
        <v>45150</v>
      </c>
      <c r="M51" s="12" t="s">
        <v>41</v>
      </c>
      <c r="N51" s="11" t="s">
        <v>42</v>
      </c>
      <c r="O51" s="25">
        <v>3063240.4</v>
      </c>
      <c r="P51" s="2">
        <v>5</v>
      </c>
      <c r="Q51" s="25">
        <v>153162.01999999999</v>
      </c>
      <c r="R51" s="25">
        <v>1531620.2</v>
      </c>
      <c r="S51" s="25">
        <v>1531619</v>
      </c>
      <c r="T51" s="25">
        <v>0</v>
      </c>
      <c r="U51" s="25">
        <v>1.1999999999534339</v>
      </c>
      <c r="V51" s="25">
        <v>306324</v>
      </c>
      <c r="W51" s="13">
        <v>0</v>
      </c>
      <c r="X51" s="13">
        <v>0</v>
      </c>
      <c r="Y51" s="13">
        <f t="shared" si="0"/>
        <v>0</v>
      </c>
      <c r="Z51" s="13"/>
      <c r="AA51" s="31"/>
      <c r="AB51" s="30"/>
    </row>
    <row r="52" spans="2:28">
      <c r="B52" s="11">
        <v>42</v>
      </c>
      <c r="C52" s="1" t="s">
        <v>377</v>
      </c>
      <c r="D52" s="1" t="s">
        <v>372</v>
      </c>
      <c r="E52" s="1" t="s">
        <v>373</v>
      </c>
      <c r="F52" s="29" t="s">
        <v>307</v>
      </c>
      <c r="G52" s="11">
        <v>2023</v>
      </c>
      <c r="H52" s="16">
        <v>44927</v>
      </c>
      <c r="I52" s="16">
        <v>45292</v>
      </c>
      <c r="J52" s="11" t="e">
        <v>#NAME?</v>
      </c>
      <c r="K52" s="12" t="s">
        <v>374</v>
      </c>
      <c r="L52" s="16">
        <v>45195</v>
      </c>
      <c r="M52" s="12" t="s">
        <v>41</v>
      </c>
      <c r="N52" s="11" t="s">
        <v>42</v>
      </c>
      <c r="O52" s="28">
        <v>12037500</v>
      </c>
      <c r="P52" s="2">
        <v>5</v>
      </c>
      <c r="Q52" s="25">
        <v>601875</v>
      </c>
      <c r="R52" s="28">
        <v>6018750</v>
      </c>
      <c r="S52" s="28">
        <v>6018750</v>
      </c>
      <c r="T52" s="28">
        <v>0</v>
      </c>
      <c r="U52" s="25">
        <v>0</v>
      </c>
      <c r="V52" s="25">
        <v>1203750</v>
      </c>
      <c r="W52" s="18">
        <v>0</v>
      </c>
      <c r="X52" s="13">
        <v>0</v>
      </c>
      <c r="Y52" s="13">
        <f t="shared" si="0"/>
        <v>0</v>
      </c>
      <c r="Z52" s="13"/>
      <c r="AA52" s="31"/>
      <c r="AB52" s="30"/>
    </row>
    <row r="53" spans="2:28">
      <c r="B53" s="11">
        <v>43</v>
      </c>
      <c r="C53" s="1" t="s">
        <v>360</v>
      </c>
      <c r="D53" s="1" t="s">
        <v>361</v>
      </c>
      <c r="E53" s="1" t="s">
        <v>158</v>
      </c>
      <c r="F53" s="29" t="s">
        <v>307</v>
      </c>
      <c r="G53" s="11">
        <v>2023</v>
      </c>
      <c r="H53" s="16">
        <v>45291</v>
      </c>
      <c r="I53" s="16">
        <v>45657</v>
      </c>
      <c r="J53" s="11">
        <v>23002</v>
      </c>
      <c r="K53" s="12" t="s">
        <v>362</v>
      </c>
      <c r="L53" s="16">
        <v>45490</v>
      </c>
      <c r="M53" s="12" t="s">
        <v>41</v>
      </c>
      <c r="N53" s="11" t="s">
        <v>60</v>
      </c>
      <c r="O53" s="28">
        <v>125.4</v>
      </c>
      <c r="P53" s="2">
        <v>20</v>
      </c>
      <c r="Q53" s="25">
        <v>25.080000000000002</v>
      </c>
      <c r="R53" s="28">
        <v>40.99</v>
      </c>
      <c r="S53" s="28">
        <v>67.69</v>
      </c>
      <c r="T53" s="28">
        <v>0</v>
      </c>
      <c r="U53" s="25">
        <v>16.72</v>
      </c>
      <c r="V53" s="25">
        <v>13.54</v>
      </c>
      <c r="W53" s="18">
        <v>0</v>
      </c>
      <c r="X53" s="13">
        <v>0</v>
      </c>
      <c r="Y53" s="13">
        <f t="shared" si="0"/>
        <v>0</v>
      </c>
      <c r="Z53" s="13"/>
      <c r="AA53" s="31"/>
      <c r="AB53" s="30"/>
    </row>
    <row r="54" spans="2:28">
      <c r="B54" s="11">
        <v>44</v>
      </c>
      <c r="C54" s="12" t="s">
        <v>360</v>
      </c>
      <c r="D54" s="12" t="s">
        <v>361</v>
      </c>
      <c r="E54" s="12" t="s">
        <v>158</v>
      </c>
      <c r="F54" s="29" t="s">
        <v>307</v>
      </c>
      <c r="G54" s="11">
        <v>2023</v>
      </c>
      <c r="H54" s="16">
        <v>45291</v>
      </c>
      <c r="I54" s="16">
        <v>45657</v>
      </c>
      <c r="J54" s="11">
        <v>23002</v>
      </c>
      <c r="K54" s="12" t="s">
        <v>362</v>
      </c>
      <c r="L54" s="16">
        <v>45490</v>
      </c>
      <c r="M54" s="12" t="s">
        <v>41</v>
      </c>
      <c r="N54" s="11" t="s">
        <v>60</v>
      </c>
      <c r="O54" s="25">
        <v>125.4</v>
      </c>
      <c r="P54" s="2">
        <v>20</v>
      </c>
      <c r="Q54" s="25">
        <v>25.080000000000002</v>
      </c>
      <c r="R54" s="28">
        <v>40.99</v>
      </c>
      <c r="S54" s="25">
        <v>0</v>
      </c>
      <c r="T54" s="25">
        <v>6.77</v>
      </c>
      <c r="U54" s="25">
        <v>77.64</v>
      </c>
      <c r="V54" s="25">
        <v>0</v>
      </c>
      <c r="W54" s="13">
        <v>1.35</v>
      </c>
      <c r="X54" s="13">
        <v>0</v>
      </c>
      <c r="Y54" s="13">
        <f t="shared" si="0"/>
        <v>0</v>
      </c>
      <c r="Z54" s="13"/>
      <c r="AA54" s="31"/>
      <c r="AB54" s="30"/>
    </row>
    <row r="55" spans="2:28">
      <c r="B55" s="11">
        <v>45</v>
      </c>
      <c r="C55" s="1" t="s">
        <v>381</v>
      </c>
      <c r="D55" s="1" t="s">
        <v>382</v>
      </c>
      <c r="E55" s="1" t="s">
        <v>383</v>
      </c>
      <c r="F55" s="29" t="s">
        <v>307</v>
      </c>
      <c r="G55" s="11">
        <v>2024</v>
      </c>
      <c r="H55" s="16">
        <v>45579</v>
      </c>
      <c r="I55" s="16">
        <v>45944</v>
      </c>
      <c r="J55" s="11" t="s">
        <v>384</v>
      </c>
      <c r="K55" s="12" t="s">
        <v>385</v>
      </c>
      <c r="L55" s="16">
        <v>45698</v>
      </c>
      <c r="M55" s="12" t="s">
        <v>213</v>
      </c>
      <c r="N55" s="11" t="s">
        <v>42</v>
      </c>
      <c r="O55" s="28">
        <v>1217806</v>
      </c>
      <c r="P55" s="2">
        <v>100</v>
      </c>
      <c r="Q55" s="25">
        <v>1217806</v>
      </c>
      <c r="R55" s="28">
        <v>608903</v>
      </c>
      <c r="S55" s="28">
        <v>608902.99999999895</v>
      </c>
      <c r="T55" s="28">
        <v>0</v>
      </c>
      <c r="U55" s="25">
        <v>1.0477378964424133E-9</v>
      </c>
      <c r="V55" s="25">
        <v>30445</v>
      </c>
      <c r="W55" s="18">
        <v>0</v>
      </c>
      <c r="X55" s="13">
        <v>0</v>
      </c>
      <c r="Y55" s="13">
        <f t="shared" ref="Y55:Y98" si="1">X55*5%</f>
        <v>0</v>
      </c>
      <c r="Z55" s="13"/>
      <c r="AA55" s="31"/>
      <c r="AB55" s="30"/>
    </row>
    <row r="56" spans="2:28">
      <c r="B56" s="11">
        <v>46</v>
      </c>
      <c r="C56" s="1" t="s">
        <v>386</v>
      </c>
      <c r="D56" s="1" t="s">
        <v>387</v>
      </c>
      <c r="E56" s="1" t="s">
        <v>388</v>
      </c>
      <c r="F56" s="29" t="s">
        <v>307</v>
      </c>
      <c r="G56" s="11">
        <v>2024</v>
      </c>
      <c r="H56" s="16">
        <v>45470</v>
      </c>
      <c r="I56" s="16">
        <v>45835</v>
      </c>
      <c r="J56" s="11">
        <v>2223</v>
      </c>
      <c r="K56" s="12" t="s">
        <v>389</v>
      </c>
      <c r="L56" s="16">
        <v>45575</v>
      </c>
      <c r="M56" s="12" t="s">
        <v>213</v>
      </c>
      <c r="N56" s="11" t="s">
        <v>42</v>
      </c>
      <c r="O56" s="28">
        <v>242777389</v>
      </c>
      <c r="P56" s="2">
        <v>100</v>
      </c>
      <c r="Q56" s="25">
        <v>242777389</v>
      </c>
      <c r="R56" s="28">
        <v>121388694.5</v>
      </c>
      <c r="S56" s="28">
        <v>121388695</v>
      </c>
      <c r="T56" s="28">
        <v>0</v>
      </c>
      <c r="U56" s="25">
        <v>-0.5</v>
      </c>
      <c r="V56" s="25">
        <v>6069435</v>
      </c>
      <c r="W56" s="18">
        <v>0</v>
      </c>
      <c r="X56" s="13">
        <v>0</v>
      </c>
      <c r="Y56" s="13">
        <f t="shared" si="1"/>
        <v>0</v>
      </c>
      <c r="Z56" s="13"/>
      <c r="AA56" s="31"/>
      <c r="AB56" s="30"/>
    </row>
    <row r="57" spans="2:28">
      <c r="B57" s="11">
        <v>47</v>
      </c>
      <c r="C57" s="1" t="s">
        <v>390</v>
      </c>
      <c r="D57" s="1" t="s">
        <v>391</v>
      </c>
      <c r="E57" s="1" t="s">
        <v>392</v>
      </c>
      <c r="F57" s="29" t="s">
        <v>307</v>
      </c>
      <c r="G57" s="11">
        <v>2024</v>
      </c>
      <c r="H57" s="16">
        <v>45519</v>
      </c>
      <c r="I57" s="16">
        <v>45884</v>
      </c>
      <c r="J57" s="11" t="s">
        <v>393</v>
      </c>
      <c r="K57" s="12" t="s">
        <v>394</v>
      </c>
      <c r="L57" s="16">
        <v>45741</v>
      </c>
      <c r="M57" s="12" t="s">
        <v>213</v>
      </c>
      <c r="N57" s="11" t="s">
        <v>42</v>
      </c>
      <c r="O57" s="28">
        <v>427427777</v>
      </c>
      <c r="P57" s="2">
        <v>100</v>
      </c>
      <c r="Q57" s="25">
        <v>427427777</v>
      </c>
      <c r="R57" s="28">
        <v>213713888.5</v>
      </c>
      <c r="S57" s="28">
        <v>213713889</v>
      </c>
      <c r="T57" s="28">
        <v>0</v>
      </c>
      <c r="U57" s="25">
        <v>-0.5</v>
      </c>
      <c r="V57" s="25">
        <v>10685694</v>
      </c>
      <c r="W57" s="18">
        <v>0</v>
      </c>
      <c r="X57" s="13">
        <v>0</v>
      </c>
      <c r="Y57" s="13">
        <f t="shared" si="1"/>
        <v>0</v>
      </c>
      <c r="Z57" s="13"/>
      <c r="AA57" s="31"/>
      <c r="AB57" s="30"/>
    </row>
    <row r="58" spans="2:28">
      <c r="B58" s="11">
        <v>48</v>
      </c>
      <c r="C58" s="1" t="s">
        <v>395</v>
      </c>
      <c r="D58" s="1" t="s">
        <v>396</v>
      </c>
      <c r="E58" s="1" t="s">
        <v>397</v>
      </c>
      <c r="F58" s="29" t="s">
        <v>307</v>
      </c>
      <c r="G58" s="11">
        <v>2024</v>
      </c>
      <c r="H58" s="16">
        <v>45565</v>
      </c>
      <c r="I58" s="16">
        <v>45714</v>
      </c>
      <c r="J58" s="11">
        <v>2118</v>
      </c>
      <c r="K58" s="12" t="s">
        <v>398</v>
      </c>
      <c r="L58" s="16">
        <v>45575</v>
      </c>
      <c r="M58" s="12" t="s">
        <v>213</v>
      </c>
      <c r="N58" s="11" t="s">
        <v>42</v>
      </c>
      <c r="O58" s="28">
        <v>238871705</v>
      </c>
      <c r="P58" s="2">
        <v>100</v>
      </c>
      <c r="Q58" s="25">
        <v>238871705</v>
      </c>
      <c r="R58" s="28">
        <v>119435852.5</v>
      </c>
      <c r="S58" s="28">
        <v>119435852</v>
      </c>
      <c r="T58" s="28">
        <v>0</v>
      </c>
      <c r="U58" s="25">
        <v>0.5</v>
      </c>
      <c r="V58" s="25">
        <v>5971792</v>
      </c>
      <c r="W58" s="18">
        <v>0</v>
      </c>
      <c r="X58" s="13">
        <v>0</v>
      </c>
      <c r="Y58" s="13">
        <f t="shared" si="1"/>
        <v>0</v>
      </c>
      <c r="Z58" s="13"/>
      <c r="AA58" s="31"/>
      <c r="AB58" s="30"/>
    </row>
    <row r="59" spans="2:28">
      <c r="B59" s="11">
        <v>49</v>
      </c>
      <c r="C59" s="1" t="s">
        <v>399</v>
      </c>
      <c r="D59" s="1" t="s">
        <v>400</v>
      </c>
      <c r="E59" s="1" t="s">
        <v>401</v>
      </c>
      <c r="F59" s="29" t="s">
        <v>307</v>
      </c>
      <c r="G59" s="11">
        <v>2024</v>
      </c>
      <c r="H59" s="16">
        <v>45353</v>
      </c>
      <c r="I59" s="16">
        <v>45718</v>
      </c>
      <c r="J59" s="11" t="s">
        <v>308</v>
      </c>
      <c r="K59" s="12" t="s">
        <v>308</v>
      </c>
      <c r="L59" s="16">
        <v>45551</v>
      </c>
      <c r="M59" s="12" t="s">
        <v>213</v>
      </c>
      <c r="N59" s="11" t="s">
        <v>42</v>
      </c>
      <c r="O59" s="28">
        <v>46490582</v>
      </c>
      <c r="P59" s="2">
        <v>100</v>
      </c>
      <c r="Q59" s="25">
        <v>46490582</v>
      </c>
      <c r="R59" s="28">
        <v>23245291</v>
      </c>
      <c r="S59" s="28">
        <v>23245292</v>
      </c>
      <c r="T59" s="28">
        <v>0</v>
      </c>
      <c r="U59" s="25">
        <v>-1</v>
      </c>
      <c r="V59" s="25">
        <v>1162265</v>
      </c>
      <c r="W59" s="18">
        <v>0</v>
      </c>
      <c r="X59" s="13">
        <v>0</v>
      </c>
      <c r="Y59" s="13">
        <f t="shared" si="1"/>
        <v>0</v>
      </c>
      <c r="Z59" s="13"/>
      <c r="AA59" s="31"/>
      <c r="AB59" s="30"/>
    </row>
    <row r="60" spans="2:28">
      <c r="B60" s="11">
        <v>50</v>
      </c>
      <c r="C60" s="1" t="s">
        <v>402</v>
      </c>
      <c r="D60" s="1" t="s">
        <v>403</v>
      </c>
      <c r="E60" s="1" t="s">
        <v>404</v>
      </c>
      <c r="F60" s="29" t="s">
        <v>307</v>
      </c>
      <c r="G60" s="11">
        <v>2024</v>
      </c>
      <c r="H60" s="16">
        <v>45555</v>
      </c>
      <c r="I60" s="16">
        <v>45920</v>
      </c>
      <c r="J60" s="11" t="s">
        <v>308</v>
      </c>
      <c r="K60" s="12" t="s">
        <v>308</v>
      </c>
      <c r="L60" s="16">
        <v>45646</v>
      </c>
      <c r="M60" s="12" t="s">
        <v>213</v>
      </c>
      <c r="N60" s="11" t="s">
        <v>42</v>
      </c>
      <c r="O60" s="28">
        <v>404123940</v>
      </c>
      <c r="P60" s="2">
        <v>100</v>
      </c>
      <c r="Q60" s="25">
        <v>404123940</v>
      </c>
      <c r="R60" s="28">
        <v>202061970</v>
      </c>
      <c r="S60" s="28">
        <v>202061969</v>
      </c>
      <c r="T60" s="28">
        <v>0</v>
      </c>
      <c r="U60" s="25">
        <v>1</v>
      </c>
      <c r="V60" s="25">
        <v>10103098</v>
      </c>
      <c r="W60" s="18">
        <v>0</v>
      </c>
      <c r="X60" s="13">
        <v>106526107</v>
      </c>
      <c r="Y60" s="13">
        <f t="shared" si="1"/>
        <v>5326305.3500000006</v>
      </c>
      <c r="Z60" s="13"/>
      <c r="AA60" s="31"/>
      <c r="AB60" s="30"/>
    </row>
    <row r="61" spans="2:28">
      <c r="B61" s="11">
        <v>51</v>
      </c>
      <c r="C61" s="1" t="s">
        <v>405</v>
      </c>
      <c r="D61" s="1" t="s">
        <v>406</v>
      </c>
      <c r="E61" s="1" t="s">
        <v>404</v>
      </c>
      <c r="F61" s="29" t="s">
        <v>307</v>
      </c>
      <c r="G61" s="11">
        <v>2024</v>
      </c>
      <c r="H61" s="16">
        <v>45519</v>
      </c>
      <c r="I61" s="16">
        <v>45884</v>
      </c>
      <c r="J61" s="11" t="s">
        <v>308</v>
      </c>
      <c r="K61" s="12" t="s">
        <v>308</v>
      </c>
      <c r="L61" s="16">
        <v>45575</v>
      </c>
      <c r="M61" s="12" t="s">
        <v>213</v>
      </c>
      <c r="N61" s="11" t="s">
        <v>42</v>
      </c>
      <c r="O61" s="28">
        <v>397433021.10000002</v>
      </c>
      <c r="P61" s="2">
        <v>100</v>
      </c>
      <c r="Q61" s="25">
        <v>397433021.10000002</v>
      </c>
      <c r="R61" s="28">
        <v>198716510.55000001</v>
      </c>
      <c r="S61" s="28">
        <v>198716511</v>
      </c>
      <c r="T61" s="28">
        <v>0</v>
      </c>
      <c r="U61" s="25">
        <v>-0.44999998807907104</v>
      </c>
      <c r="V61" s="25">
        <v>9935826</v>
      </c>
      <c r="W61" s="18">
        <v>0</v>
      </c>
      <c r="X61" s="13">
        <v>0</v>
      </c>
      <c r="Y61" s="13">
        <f t="shared" si="1"/>
        <v>0</v>
      </c>
      <c r="Z61" s="13"/>
      <c r="AA61" s="31"/>
      <c r="AB61" s="30"/>
    </row>
    <row r="62" spans="2:28">
      <c r="B62" s="11">
        <v>52</v>
      </c>
      <c r="C62" s="1" t="s">
        <v>407</v>
      </c>
      <c r="D62" s="1" t="s">
        <v>408</v>
      </c>
      <c r="E62" s="1" t="s">
        <v>409</v>
      </c>
      <c r="F62" s="29" t="s">
        <v>307</v>
      </c>
      <c r="G62" s="11">
        <v>2024</v>
      </c>
      <c r="H62" s="16">
        <v>45378</v>
      </c>
      <c r="I62" s="16">
        <v>47204</v>
      </c>
      <c r="J62" s="11" t="s">
        <v>308</v>
      </c>
      <c r="K62" s="12" t="s">
        <v>308</v>
      </c>
      <c r="L62" s="16">
        <v>45577</v>
      </c>
      <c r="M62" s="12" t="s">
        <v>213</v>
      </c>
      <c r="N62" s="11" t="s">
        <v>42</v>
      </c>
      <c r="O62" s="28">
        <v>17805000</v>
      </c>
      <c r="P62" s="2">
        <v>100</v>
      </c>
      <c r="Q62" s="25">
        <v>17805000</v>
      </c>
      <c r="R62" s="28">
        <v>8902500</v>
      </c>
      <c r="S62" s="28">
        <v>8902500</v>
      </c>
      <c r="T62" s="28">
        <v>0</v>
      </c>
      <c r="U62" s="25">
        <v>0</v>
      </c>
      <c r="V62" s="25">
        <v>445125</v>
      </c>
      <c r="W62" s="18">
        <v>0</v>
      </c>
      <c r="X62" s="13">
        <v>0</v>
      </c>
      <c r="Y62" s="13">
        <f t="shared" si="1"/>
        <v>0</v>
      </c>
      <c r="Z62" s="13"/>
      <c r="AA62" s="31"/>
      <c r="AB62" s="30"/>
    </row>
    <row r="63" spans="2:28">
      <c r="B63" s="11">
        <v>53</v>
      </c>
      <c r="C63" s="1" t="s">
        <v>410</v>
      </c>
      <c r="D63" s="1" t="s">
        <v>411</v>
      </c>
      <c r="E63" s="1" t="s">
        <v>412</v>
      </c>
      <c r="F63" s="29" t="s">
        <v>307</v>
      </c>
      <c r="G63" s="11">
        <v>2024</v>
      </c>
      <c r="H63" s="16">
        <v>45546</v>
      </c>
      <c r="I63" s="16">
        <v>45910</v>
      </c>
      <c r="J63" s="11">
        <v>2028</v>
      </c>
      <c r="K63" s="12" t="s">
        <v>413</v>
      </c>
      <c r="L63" s="16">
        <v>45580</v>
      </c>
      <c r="M63" s="12" t="s">
        <v>213</v>
      </c>
      <c r="N63" s="11" t="s">
        <v>42</v>
      </c>
      <c r="O63" s="28">
        <v>200541317.59999999</v>
      </c>
      <c r="P63" s="2">
        <v>100</v>
      </c>
      <c r="Q63" s="25">
        <v>200541317.59999999</v>
      </c>
      <c r="R63" s="28">
        <v>100270658.8</v>
      </c>
      <c r="S63" s="28">
        <v>100270659</v>
      </c>
      <c r="T63" s="28">
        <v>0</v>
      </c>
      <c r="U63" s="25">
        <v>-0.20000000298023224</v>
      </c>
      <c r="V63" s="25">
        <v>5013533</v>
      </c>
      <c r="W63" s="18">
        <v>0</v>
      </c>
      <c r="X63" s="13">
        <v>151458682.40000001</v>
      </c>
      <c r="Y63" s="13">
        <f t="shared" si="1"/>
        <v>7572934.120000001</v>
      </c>
      <c r="Z63" s="13"/>
      <c r="AA63" s="31"/>
      <c r="AB63" s="30"/>
    </row>
    <row r="64" spans="2:28">
      <c r="B64" s="11">
        <v>54</v>
      </c>
      <c r="C64" s="1" t="s">
        <v>414</v>
      </c>
      <c r="D64" s="1" t="s">
        <v>415</v>
      </c>
      <c r="E64" s="1" t="s">
        <v>416</v>
      </c>
      <c r="F64" s="29" t="s">
        <v>307</v>
      </c>
      <c r="G64" s="11">
        <v>2024</v>
      </c>
      <c r="H64" s="16">
        <v>45626</v>
      </c>
      <c r="I64" s="16">
        <v>45991</v>
      </c>
      <c r="J64" s="11">
        <v>2028</v>
      </c>
      <c r="K64" s="12" t="s">
        <v>417</v>
      </c>
      <c r="L64" s="16">
        <v>45649</v>
      </c>
      <c r="M64" s="12" t="s">
        <v>213</v>
      </c>
      <c r="N64" s="11" t="s">
        <v>42</v>
      </c>
      <c r="O64" s="28">
        <v>181841104</v>
      </c>
      <c r="P64" s="2">
        <v>100</v>
      </c>
      <c r="Q64" s="25">
        <v>181841104</v>
      </c>
      <c r="R64" s="28">
        <v>90920552</v>
      </c>
      <c r="S64" s="28">
        <v>90920552</v>
      </c>
      <c r="T64" s="28">
        <v>0</v>
      </c>
      <c r="U64" s="25">
        <v>0</v>
      </c>
      <c r="V64" s="25">
        <v>4546028</v>
      </c>
      <c r="W64" s="18">
        <v>0</v>
      </c>
      <c r="X64" s="13">
        <v>0</v>
      </c>
      <c r="Y64" s="13">
        <f t="shared" si="1"/>
        <v>0</v>
      </c>
      <c r="Z64" s="13"/>
      <c r="AA64" s="31"/>
      <c r="AB64" s="30"/>
    </row>
    <row r="65" spans="2:28">
      <c r="B65" s="11">
        <v>55</v>
      </c>
      <c r="C65" s="1" t="s">
        <v>418</v>
      </c>
      <c r="D65" s="1" t="s">
        <v>419</v>
      </c>
      <c r="E65" s="1" t="s">
        <v>420</v>
      </c>
      <c r="F65" s="29" t="s">
        <v>307</v>
      </c>
      <c r="G65" s="11">
        <v>2024</v>
      </c>
      <c r="H65" s="16">
        <v>45292</v>
      </c>
      <c r="I65" s="16">
        <v>45658</v>
      </c>
      <c r="J65" s="11" t="s">
        <v>308</v>
      </c>
      <c r="K65" s="12" t="s">
        <v>308</v>
      </c>
      <c r="L65" s="16">
        <v>45604</v>
      </c>
      <c r="M65" s="12" t="s">
        <v>213</v>
      </c>
      <c r="N65" s="11" t="s">
        <v>42</v>
      </c>
      <c r="O65" s="28">
        <v>400720927</v>
      </c>
      <c r="P65" s="2">
        <v>100</v>
      </c>
      <c r="Q65" s="25">
        <v>400720927</v>
      </c>
      <c r="R65" s="28">
        <v>200360463.5</v>
      </c>
      <c r="S65" s="28">
        <v>200360463</v>
      </c>
      <c r="T65" s="28">
        <v>0</v>
      </c>
      <c r="U65" s="25">
        <v>0.5</v>
      </c>
      <c r="V65" s="25">
        <v>10018023</v>
      </c>
      <c r="W65" s="18">
        <v>0</v>
      </c>
      <c r="X65" s="13">
        <v>4754525</v>
      </c>
      <c r="Y65" s="13">
        <f t="shared" si="1"/>
        <v>237726.25</v>
      </c>
      <c r="Z65" s="13"/>
      <c r="AA65" s="31"/>
      <c r="AB65" s="30"/>
    </row>
    <row r="66" spans="2:28">
      <c r="B66" s="11">
        <v>56</v>
      </c>
      <c r="C66" s="1" t="s">
        <v>421</v>
      </c>
      <c r="D66" s="1" t="s">
        <v>422</v>
      </c>
      <c r="E66" s="1" t="s">
        <v>423</v>
      </c>
      <c r="F66" s="29" t="s">
        <v>307</v>
      </c>
      <c r="G66" s="11">
        <v>2024</v>
      </c>
      <c r="H66" s="16">
        <v>45349</v>
      </c>
      <c r="I66" s="16">
        <v>45715</v>
      </c>
      <c r="J66" s="11" t="s">
        <v>308</v>
      </c>
      <c r="K66" s="12" t="s">
        <v>308</v>
      </c>
      <c r="L66" s="16">
        <v>45597</v>
      </c>
      <c r="M66" s="12" t="s">
        <v>213</v>
      </c>
      <c r="N66" s="11" t="s">
        <v>42</v>
      </c>
      <c r="O66" s="28">
        <v>245340458</v>
      </c>
      <c r="P66" s="2">
        <v>100</v>
      </c>
      <c r="Q66" s="25">
        <v>245340458</v>
      </c>
      <c r="R66" s="28">
        <v>122670229</v>
      </c>
      <c r="S66" s="28">
        <v>122670229</v>
      </c>
      <c r="T66" s="28">
        <v>0</v>
      </c>
      <c r="U66" s="25">
        <v>0</v>
      </c>
      <c r="V66" s="25">
        <v>6133511</v>
      </c>
      <c r="W66" s="18">
        <v>0</v>
      </c>
      <c r="X66" s="13">
        <v>324659542</v>
      </c>
      <c r="Y66" s="13">
        <f t="shared" si="1"/>
        <v>16232977.100000001</v>
      </c>
      <c r="Z66" s="13"/>
      <c r="AA66" s="31"/>
      <c r="AB66" s="30"/>
    </row>
    <row r="67" spans="2:28">
      <c r="B67" s="11">
        <v>57</v>
      </c>
      <c r="C67" s="1" t="s">
        <v>424</v>
      </c>
      <c r="D67" s="1" t="s">
        <v>425</v>
      </c>
      <c r="E67" s="1" t="s">
        <v>426</v>
      </c>
      <c r="F67" s="29" t="s">
        <v>307</v>
      </c>
      <c r="G67" s="11">
        <v>2024</v>
      </c>
      <c r="H67" s="16">
        <v>45349</v>
      </c>
      <c r="I67" s="16">
        <v>45807</v>
      </c>
      <c r="J67" s="11" t="s">
        <v>308</v>
      </c>
      <c r="K67" s="12" t="s">
        <v>308</v>
      </c>
      <c r="L67" s="16">
        <v>45579</v>
      </c>
      <c r="M67" s="12" t="s">
        <v>213</v>
      </c>
      <c r="N67" s="11" t="s">
        <v>42</v>
      </c>
      <c r="O67" s="28">
        <v>435916686</v>
      </c>
      <c r="P67" s="2">
        <v>100</v>
      </c>
      <c r="Q67" s="25">
        <v>435916686</v>
      </c>
      <c r="R67" s="28">
        <v>217958343</v>
      </c>
      <c r="S67" s="28">
        <v>217958343</v>
      </c>
      <c r="T67" s="28">
        <v>0</v>
      </c>
      <c r="U67" s="25">
        <v>0</v>
      </c>
      <c r="V67" s="25">
        <v>10897917</v>
      </c>
      <c r="W67" s="18">
        <v>0</v>
      </c>
      <c r="X67" s="13">
        <v>0</v>
      </c>
      <c r="Y67" s="13">
        <f t="shared" si="1"/>
        <v>0</v>
      </c>
      <c r="Z67" s="13"/>
      <c r="AA67" s="31"/>
      <c r="AB67" s="30"/>
    </row>
    <row r="68" spans="2:28">
      <c r="B68" s="11">
        <v>58</v>
      </c>
      <c r="C68" s="1" t="s">
        <v>427</v>
      </c>
      <c r="D68" s="1" t="s">
        <v>428</v>
      </c>
      <c r="E68" s="1" t="s">
        <v>429</v>
      </c>
      <c r="F68" s="29" t="s">
        <v>307</v>
      </c>
      <c r="G68" s="11">
        <v>2024</v>
      </c>
      <c r="H68" s="16">
        <v>45360</v>
      </c>
      <c r="I68" s="16">
        <v>46455</v>
      </c>
      <c r="J68" s="11" t="s">
        <v>308</v>
      </c>
      <c r="K68" s="12" t="s">
        <v>308</v>
      </c>
      <c r="L68" s="16">
        <v>45471</v>
      </c>
      <c r="M68" s="12" t="s">
        <v>213</v>
      </c>
      <c r="N68" s="11" t="s">
        <v>42</v>
      </c>
      <c r="O68" s="28">
        <v>582875191</v>
      </c>
      <c r="P68" s="2">
        <v>100</v>
      </c>
      <c r="Q68" s="25">
        <v>582875191</v>
      </c>
      <c r="R68" s="28">
        <v>291437595.5</v>
      </c>
      <c r="S68" s="28">
        <v>291437596</v>
      </c>
      <c r="T68" s="28">
        <v>0</v>
      </c>
      <c r="U68" s="25">
        <v>-0.5</v>
      </c>
      <c r="V68" s="25">
        <v>14571880</v>
      </c>
      <c r="W68" s="18">
        <v>0</v>
      </c>
      <c r="X68" s="13">
        <v>0</v>
      </c>
      <c r="Y68" s="13">
        <f t="shared" si="1"/>
        <v>0</v>
      </c>
      <c r="Z68" s="13"/>
      <c r="AA68" s="31"/>
      <c r="AB68" s="30"/>
    </row>
    <row r="69" spans="2:28">
      <c r="B69" s="11">
        <v>59</v>
      </c>
      <c r="C69" s="1" t="s">
        <v>430</v>
      </c>
      <c r="D69" s="1" t="s">
        <v>431</v>
      </c>
      <c r="E69" s="1" t="s">
        <v>432</v>
      </c>
      <c r="F69" s="29" t="s">
        <v>307</v>
      </c>
      <c r="G69" s="11">
        <v>2024</v>
      </c>
      <c r="H69" s="16">
        <v>45377</v>
      </c>
      <c r="I69" s="16">
        <v>45742</v>
      </c>
      <c r="J69" s="11" t="s">
        <v>308</v>
      </c>
      <c r="K69" s="12" t="s">
        <v>308</v>
      </c>
      <c r="L69" s="16">
        <v>45613</v>
      </c>
      <c r="M69" s="12" t="s">
        <v>213</v>
      </c>
      <c r="N69" s="11" t="s">
        <v>42</v>
      </c>
      <c r="O69" s="28">
        <v>159352550</v>
      </c>
      <c r="P69" s="2">
        <v>100</v>
      </c>
      <c r="Q69" s="25">
        <v>159352550</v>
      </c>
      <c r="R69" s="28">
        <v>79676275</v>
      </c>
      <c r="S69" s="28">
        <v>79676276</v>
      </c>
      <c r="T69" s="28">
        <v>0</v>
      </c>
      <c r="U69" s="25">
        <v>-1</v>
      </c>
      <c r="V69" s="25">
        <v>3983814</v>
      </c>
      <c r="W69" s="18">
        <v>0</v>
      </c>
      <c r="X69" s="13">
        <v>0</v>
      </c>
      <c r="Y69" s="13">
        <f t="shared" si="1"/>
        <v>0</v>
      </c>
      <c r="Z69" s="13"/>
      <c r="AA69" s="31"/>
      <c r="AB69" s="30"/>
    </row>
    <row r="70" spans="2:28">
      <c r="B70" s="11">
        <v>60</v>
      </c>
      <c r="C70" s="1" t="s">
        <v>433</v>
      </c>
      <c r="D70" s="1" t="s">
        <v>434</v>
      </c>
      <c r="E70" s="1" t="s">
        <v>435</v>
      </c>
      <c r="F70" s="29" t="s">
        <v>307</v>
      </c>
      <c r="G70" s="11">
        <v>2024</v>
      </c>
      <c r="H70" s="16">
        <v>45622</v>
      </c>
      <c r="I70" s="16">
        <v>45987</v>
      </c>
      <c r="J70" s="11" t="s">
        <v>308</v>
      </c>
      <c r="K70" s="12" t="s">
        <v>308</v>
      </c>
      <c r="L70" s="16">
        <v>45704</v>
      </c>
      <c r="M70" s="12" t="s">
        <v>213</v>
      </c>
      <c r="N70" s="11" t="s">
        <v>42</v>
      </c>
      <c r="O70" s="28">
        <v>29614500</v>
      </c>
      <c r="P70" s="2">
        <v>100</v>
      </c>
      <c r="Q70" s="25">
        <v>29614500</v>
      </c>
      <c r="R70" s="28">
        <v>14807250</v>
      </c>
      <c r="S70" s="28">
        <v>14807251</v>
      </c>
      <c r="T70" s="28">
        <v>0</v>
      </c>
      <c r="U70" s="25">
        <v>-1</v>
      </c>
      <c r="V70" s="25">
        <v>740363</v>
      </c>
      <c r="W70" s="18">
        <v>0</v>
      </c>
      <c r="X70" s="13">
        <v>0</v>
      </c>
      <c r="Y70" s="13">
        <f t="shared" si="1"/>
        <v>0</v>
      </c>
      <c r="Z70" s="13"/>
      <c r="AA70" s="31"/>
      <c r="AB70" s="30"/>
    </row>
    <row r="71" spans="2:28">
      <c r="B71" s="11">
        <v>61</v>
      </c>
      <c r="C71" s="1" t="s">
        <v>436</v>
      </c>
      <c r="D71" s="1" t="s">
        <v>437</v>
      </c>
      <c r="E71" s="1" t="s">
        <v>438</v>
      </c>
      <c r="F71" s="29" t="s">
        <v>307</v>
      </c>
      <c r="G71" s="11">
        <v>2024</v>
      </c>
      <c r="H71" s="16">
        <v>45443</v>
      </c>
      <c r="I71" s="16">
        <v>45622</v>
      </c>
      <c r="J71" s="11" t="s">
        <v>308</v>
      </c>
      <c r="K71" s="12" t="s">
        <v>308</v>
      </c>
      <c r="L71" s="16">
        <v>45610</v>
      </c>
      <c r="M71" s="12" t="s">
        <v>41</v>
      </c>
      <c r="N71" s="11" t="s">
        <v>42</v>
      </c>
      <c r="O71" s="28">
        <v>154560454.59999999</v>
      </c>
      <c r="P71" s="2">
        <v>20</v>
      </c>
      <c r="Q71" s="25">
        <v>30912090.920000002</v>
      </c>
      <c r="R71" s="28">
        <v>77280227.299999997</v>
      </c>
      <c r="S71" s="28">
        <v>77280228</v>
      </c>
      <c r="T71" s="28">
        <v>0</v>
      </c>
      <c r="U71" s="25">
        <v>-0.70000000298023224</v>
      </c>
      <c r="V71" s="25">
        <v>3864011</v>
      </c>
      <c r="W71" s="18">
        <v>0</v>
      </c>
      <c r="X71" s="13">
        <v>0</v>
      </c>
      <c r="Y71" s="13">
        <f t="shared" si="1"/>
        <v>0</v>
      </c>
      <c r="Z71" s="13"/>
      <c r="AA71" s="31"/>
      <c r="AB71" s="30"/>
    </row>
    <row r="72" spans="2:28">
      <c r="B72" s="11">
        <v>62</v>
      </c>
      <c r="C72" s="1" t="s">
        <v>439</v>
      </c>
      <c r="D72" s="1" t="s">
        <v>440</v>
      </c>
      <c r="E72" s="1" t="s">
        <v>441</v>
      </c>
      <c r="F72" s="29" t="s">
        <v>307</v>
      </c>
      <c r="G72" s="11">
        <v>2024</v>
      </c>
      <c r="H72" s="16">
        <v>45411</v>
      </c>
      <c r="I72" s="16">
        <v>45776</v>
      </c>
      <c r="J72" s="11" t="s">
        <v>308</v>
      </c>
      <c r="K72" s="12" t="s">
        <v>308</v>
      </c>
      <c r="L72" s="16">
        <v>45634</v>
      </c>
      <c r="M72" s="12" t="s">
        <v>41</v>
      </c>
      <c r="N72" s="11" t="s">
        <v>42</v>
      </c>
      <c r="O72" s="28">
        <v>45620036</v>
      </c>
      <c r="P72" s="2">
        <v>40</v>
      </c>
      <c r="Q72" s="25">
        <v>18248014.400000002</v>
      </c>
      <c r="R72" s="28">
        <v>22810018</v>
      </c>
      <c r="S72" s="28">
        <v>22810017</v>
      </c>
      <c r="T72" s="28">
        <v>0</v>
      </c>
      <c r="U72" s="25">
        <v>1</v>
      </c>
      <c r="V72" s="25">
        <v>1140501</v>
      </c>
      <c r="W72" s="18">
        <v>0</v>
      </c>
      <c r="X72" s="13">
        <v>57356488</v>
      </c>
      <c r="Y72" s="13">
        <f t="shared" si="1"/>
        <v>2867824.4000000004</v>
      </c>
      <c r="Z72" s="13"/>
      <c r="AA72" s="31"/>
      <c r="AB72" s="30"/>
    </row>
    <row r="73" spans="2:28">
      <c r="B73" s="11">
        <v>63</v>
      </c>
      <c r="C73" s="1" t="s">
        <v>442</v>
      </c>
      <c r="D73" s="1" t="s">
        <v>443</v>
      </c>
      <c r="E73" s="1" t="s">
        <v>444</v>
      </c>
      <c r="F73" s="29" t="s">
        <v>307</v>
      </c>
      <c r="G73" s="11">
        <v>2024</v>
      </c>
      <c r="H73" s="16">
        <v>45560</v>
      </c>
      <c r="I73" s="16">
        <v>45925</v>
      </c>
      <c r="J73" s="11" t="s">
        <v>308</v>
      </c>
      <c r="K73" s="12" t="s">
        <v>308</v>
      </c>
      <c r="L73" s="16">
        <v>45711</v>
      </c>
      <c r="M73" s="12" t="s">
        <v>41</v>
      </c>
      <c r="N73" s="11" t="s">
        <v>42</v>
      </c>
      <c r="O73" s="25">
        <v>4034681.64</v>
      </c>
      <c r="P73" s="2">
        <v>10</v>
      </c>
      <c r="Q73" s="25">
        <v>403468.16400000005</v>
      </c>
      <c r="R73" s="25">
        <v>1775215.29287019</v>
      </c>
      <c r="S73" s="25">
        <v>153777</v>
      </c>
      <c r="T73" s="25">
        <v>0</v>
      </c>
      <c r="U73" s="25">
        <v>2105689.3471298101</v>
      </c>
      <c r="V73" s="25">
        <v>7689</v>
      </c>
      <c r="W73" s="13">
        <v>0</v>
      </c>
      <c r="X73" s="13">
        <v>0</v>
      </c>
      <c r="Y73" s="13">
        <f t="shared" si="1"/>
        <v>0</v>
      </c>
      <c r="Z73" s="13"/>
      <c r="AA73" s="31"/>
      <c r="AB73" s="30"/>
    </row>
    <row r="74" spans="2:28">
      <c r="B74" s="11">
        <v>64</v>
      </c>
      <c r="C74" s="1" t="s">
        <v>442</v>
      </c>
      <c r="D74" s="1" t="s">
        <v>443</v>
      </c>
      <c r="E74" s="1" t="s">
        <v>444</v>
      </c>
      <c r="F74" s="29" t="s">
        <v>307</v>
      </c>
      <c r="G74" s="11">
        <v>2024</v>
      </c>
      <c r="H74" s="16">
        <v>45560</v>
      </c>
      <c r="I74" s="16">
        <v>45925</v>
      </c>
      <c r="J74" s="11" t="s">
        <v>308</v>
      </c>
      <c r="K74" s="12" t="s">
        <v>308</v>
      </c>
      <c r="L74" s="16">
        <v>45711</v>
      </c>
      <c r="M74" s="12" t="s">
        <v>41</v>
      </c>
      <c r="N74" s="11" t="s">
        <v>42</v>
      </c>
      <c r="O74" s="25">
        <v>4034681.64</v>
      </c>
      <c r="P74" s="2">
        <v>10</v>
      </c>
      <c r="Q74" s="25">
        <v>403468.16400000005</v>
      </c>
      <c r="R74" s="25">
        <v>1775215.29287019</v>
      </c>
      <c r="S74" s="25">
        <v>0</v>
      </c>
      <c r="T74" s="25">
        <v>41947</v>
      </c>
      <c r="U74" s="25">
        <v>2217519.3471298101</v>
      </c>
      <c r="V74" s="25">
        <v>0</v>
      </c>
      <c r="W74" s="13">
        <v>2097</v>
      </c>
      <c r="X74" s="13">
        <v>0</v>
      </c>
      <c r="Y74" s="13">
        <f t="shared" si="1"/>
        <v>0</v>
      </c>
      <c r="Z74" s="13"/>
      <c r="AA74" s="31"/>
      <c r="AB74" s="30"/>
    </row>
    <row r="75" spans="2:28">
      <c r="B75" s="11">
        <v>65</v>
      </c>
      <c r="C75" s="1" t="s">
        <v>445</v>
      </c>
      <c r="D75" s="1" t="s">
        <v>443</v>
      </c>
      <c r="E75" s="1" t="s">
        <v>444</v>
      </c>
      <c r="F75" s="29" t="s">
        <v>307</v>
      </c>
      <c r="G75" s="11">
        <v>2024</v>
      </c>
      <c r="H75" s="16">
        <v>45560</v>
      </c>
      <c r="I75" s="16">
        <v>45925</v>
      </c>
      <c r="J75" s="11" t="s">
        <v>308</v>
      </c>
      <c r="K75" s="12" t="s">
        <v>308</v>
      </c>
      <c r="L75" s="16">
        <v>45713</v>
      </c>
      <c r="M75" s="12" t="s">
        <v>41</v>
      </c>
      <c r="N75" s="11" t="s">
        <v>42</v>
      </c>
      <c r="O75" s="25">
        <v>4034681.64</v>
      </c>
      <c r="P75" s="2">
        <v>10</v>
      </c>
      <c r="Q75" s="25">
        <v>403468.16400000005</v>
      </c>
      <c r="R75" s="25">
        <v>1775215.29287019</v>
      </c>
      <c r="S75" s="25">
        <v>153777</v>
      </c>
      <c r="T75" s="25">
        <v>0</v>
      </c>
      <c r="U75" s="25">
        <v>2105689.3471298101</v>
      </c>
      <c r="V75" s="25">
        <v>7689</v>
      </c>
      <c r="W75" s="13">
        <v>0</v>
      </c>
      <c r="X75" s="13">
        <v>0</v>
      </c>
      <c r="Y75" s="13">
        <f t="shared" si="1"/>
        <v>0</v>
      </c>
      <c r="Z75" s="13"/>
      <c r="AA75" s="31"/>
      <c r="AB75" s="30"/>
    </row>
    <row r="76" spans="2:28">
      <c r="B76" s="11">
        <v>66</v>
      </c>
      <c r="C76" s="1" t="s">
        <v>445</v>
      </c>
      <c r="D76" s="1" t="s">
        <v>443</v>
      </c>
      <c r="E76" s="1" t="s">
        <v>444</v>
      </c>
      <c r="F76" s="29" t="s">
        <v>307</v>
      </c>
      <c r="G76" s="11">
        <v>2024</v>
      </c>
      <c r="H76" s="16">
        <v>45560</v>
      </c>
      <c r="I76" s="16">
        <v>45925</v>
      </c>
      <c r="J76" s="11" t="s">
        <v>308</v>
      </c>
      <c r="K76" s="12" t="s">
        <v>308</v>
      </c>
      <c r="L76" s="16">
        <v>45713</v>
      </c>
      <c r="M76" s="12" t="s">
        <v>41</v>
      </c>
      <c r="N76" s="11" t="s">
        <v>42</v>
      </c>
      <c r="O76" s="25">
        <v>4034681.64</v>
      </c>
      <c r="P76" s="2">
        <v>10</v>
      </c>
      <c r="Q76" s="25">
        <v>403468.16400000005</v>
      </c>
      <c r="R76" s="25">
        <v>1775215.29287019</v>
      </c>
      <c r="S76" s="25">
        <v>0</v>
      </c>
      <c r="T76" s="25">
        <v>41947</v>
      </c>
      <c r="U76" s="25">
        <v>2217519.3471298101</v>
      </c>
      <c r="V76" s="25">
        <v>0</v>
      </c>
      <c r="W76" s="13">
        <v>2097</v>
      </c>
      <c r="X76" s="13">
        <v>0</v>
      </c>
      <c r="Y76" s="13">
        <f t="shared" si="1"/>
        <v>0</v>
      </c>
      <c r="Z76" s="13"/>
      <c r="AA76" s="31"/>
      <c r="AB76" s="30"/>
    </row>
    <row r="77" spans="2:28">
      <c r="B77" s="11">
        <v>67</v>
      </c>
      <c r="C77" s="1" t="s">
        <v>446</v>
      </c>
      <c r="D77" s="1" t="s">
        <v>443</v>
      </c>
      <c r="E77" s="1" t="s">
        <v>444</v>
      </c>
      <c r="F77" s="29" t="s">
        <v>307</v>
      </c>
      <c r="G77" s="11">
        <v>2024</v>
      </c>
      <c r="H77" s="16">
        <v>45560</v>
      </c>
      <c r="I77" s="16">
        <v>45925</v>
      </c>
      <c r="J77" s="11" t="s">
        <v>308</v>
      </c>
      <c r="K77" s="12" t="s">
        <v>308</v>
      </c>
      <c r="L77" s="16">
        <v>45712</v>
      </c>
      <c r="M77" s="12" t="s">
        <v>41</v>
      </c>
      <c r="N77" s="11" t="s">
        <v>42</v>
      </c>
      <c r="O77" s="25">
        <v>4034681.64</v>
      </c>
      <c r="P77" s="2">
        <v>10</v>
      </c>
      <c r="Q77" s="25">
        <v>403468.16400000005</v>
      </c>
      <c r="R77" s="25">
        <v>1775215.29287019</v>
      </c>
      <c r="S77" s="25">
        <v>153777</v>
      </c>
      <c r="T77" s="25">
        <v>0</v>
      </c>
      <c r="U77" s="25">
        <v>2105689.3471298101</v>
      </c>
      <c r="V77" s="25">
        <v>7689</v>
      </c>
      <c r="W77" s="13">
        <v>0</v>
      </c>
      <c r="X77" s="13">
        <v>0</v>
      </c>
      <c r="Y77" s="13">
        <f t="shared" si="1"/>
        <v>0</v>
      </c>
      <c r="Z77" s="13"/>
      <c r="AA77" s="31"/>
      <c r="AB77" s="30"/>
    </row>
    <row r="78" spans="2:28">
      <c r="B78" s="11">
        <v>68</v>
      </c>
      <c r="C78" s="1" t="s">
        <v>446</v>
      </c>
      <c r="D78" s="1" t="s">
        <v>443</v>
      </c>
      <c r="E78" s="1" t="s">
        <v>444</v>
      </c>
      <c r="F78" s="29" t="s">
        <v>307</v>
      </c>
      <c r="G78" s="11">
        <v>2024</v>
      </c>
      <c r="H78" s="16">
        <v>45560</v>
      </c>
      <c r="I78" s="16">
        <v>45925</v>
      </c>
      <c r="J78" s="11" t="s">
        <v>308</v>
      </c>
      <c r="K78" s="12" t="s">
        <v>308</v>
      </c>
      <c r="L78" s="16">
        <v>45712</v>
      </c>
      <c r="M78" s="12" t="s">
        <v>41</v>
      </c>
      <c r="N78" s="11" t="s">
        <v>42</v>
      </c>
      <c r="O78" s="28">
        <v>4034681.64</v>
      </c>
      <c r="P78" s="2">
        <v>10</v>
      </c>
      <c r="Q78" s="25">
        <v>403468.16400000005</v>
      </c>
      <c r="R78" s="28">
        <v>1775215.29287019</v>
      </c>
      <c r="S78" s="28">
        <v>0</v>
      </c>
      <c r="T78" s="28">
        <v>41947</v>
      </c>
      <c r="U78" s="25">
        <v>2217519.3471298101</v>
      </c>
      <c r="V78" s="25">
        <v>0</v>
      </c>
      <c r="W78" s="18">
        <v>2097</v>
      </c>
      <c r="X78" s="13">
        <v>0</v>
      </c>
      <c r="Y78" s="13">
        <f t="shared" si="1"/>
        <v>0</v>
      </c>
      <c r="Z78" s="13"/>
      <c r="AA78" s="31"/>
      <c r="AB78" s="30"/>
    </row>
    <row r="79" spans="2:28">
      <c r="B79" s="11">
        <v>69</v>
      </c>
      <c r="C79" s="1" t="s">
        <v>447</v>
      </c>
      <c r="D79" s="1" t="s">
        <v>443</v>
      </c>
      <c r="E79" s="1" t="s">
        <v>448</v>
      </c>
      <c r="F79" s="29" t="s">
        <v>307</v>
      </c>
      <c r="G79" s="11">
        <v>2024</v>
      </c>
      <c r="H79" s="16">
        <v>45560</v>
      </c>
      <c r="I79" s="16">
        <v>45925</v>
      </c>
      <c r="J79" s="11" t="s">
        <v>308</v>
      </c>
      <c r="K79" s="12" t="s">
        <v>308</v>
      </c>
      <c r="L79" s="16">
        <v>45711</v>
      </c>
      <c r="M79" s="12" t="s">
        <v>41</v>
      </c>
      <c r="N79" s="11" t="s">
        <v>42</v>
      </c>
      <c r="O79" s="28">
        <v>1538260.2</v>
      </c>
      <c r="P79" s="2">
        <v>10</v>
      </c>
      <c r="Q79" s="25">
        <v>153826.01999999999</v>
      </c>
      <c r="R79" s="28">
        <v>326709.87869503797</v>
      </c>
      <c r="S79" s="28">
        <v>326709</v>
      </c>
      <c r="T79" s="28">
        <v>0</v>
      </c>
      <c r="U79" s="25">
        <v>884841.32130496204</v>
      </c>
      <c r="V79" s="25">
        <v>16335</v>
      </c>
      <c r="W79" s="18">
        <v>0</v>
      </c>
      <c r="X79" s="13">
        <v>0</v>
      </c>
      <c r="Y79" s="13">
        <f t="shared" si="1"/>
        <v>0</v>
      </c>
      <c r="Z79" s="13"/>
      <c r="AA79" s="31"/>
      <c r="AB79" s="30"/>
    </row>
    <row r="80" spans="2:28">
      <c r="B80" s="11">
        <v>70</v>
      </c>
      <c r="C80" s="1" t="s">
        <v>447</v>
      </c>
      <c r="D80" s="1" t="s">
        <v>443</v>
      </c>
      <c r="E80" s="1" t="s">
        <v>448</v>
      </c>
      <c r="F80" s="29"/>
      <c r="G80" s="11">
        <v>2024</v>
      </c>
      <c r="H80" s="16">
        <v>45560</v>
      </c>
      <c r="I80" s="16">
        <v>45925</v>
      </c>
      <c r="J80" s="11" t="s">
        <v>308</v>
      </c>
      <c r="K80" s="12" t="s">
        <v>308</v>
      </c>
      <c r="L80" s="16">
        <v>45711</v>
      </c>
      <c r="M80" s="12" t="s">
        <v>41</v>
      </c>
      <c r="N80" s="11" t="s">
        <v>42</v>
      </c>
      <c r="O80" s="28">
        <v>1538260.2</v>
      </c>
      <c r="P80" s="2">
        <v>10</v>
      </c>
      <c r="Q80" s="25">
        <v>153826.01999999999</v>
      </c>
      <c r="R80" s="28">
        <v>326709.87869503797</v>
      </c>
      <c r="S80" s="28">
        <v>0</v>
      </c>
      <c r="T80" s="28">
        <v>884841</v>
      </c>
      <c r="U80" s="25">
        <v>326709.32130496204</v>
      </c>
      <c r="V80" s="25">
        <v>0</v>
      </c>
      <c r="W80" s="18">
        <v>44242</v>
      </c>
      <c r="X80" s="13">
        <v>0</v>
      </c>
      <c r="Y80" s="13">
        <f t="shared" si="1"/>
        <v>0</v>
      </c>
      <c r="Z80" s="13"/>
      <c r="AA80" s="31"/>
      <c r="AB80" s="30"/>
    </row>
    <row r="81" spans="2:28">
      <c r="B81" s="11">
        <v>71</v>
      </c>
      <c r="C81" s="1" t="s">
        <v>449</v>
      </c>
      <c r="D81" s="1" t="s">
        <v>443</v>
      </c>
      <c r="E81" s="1" t="s">
        <v>444</v>
      </c>
      <c r="F81" s="29"/>
      <c r="G81" s="11">
        <v>2024</v>
      </c>
      <c r="H81" s="16">
        <v>45560</v>
      </c>
      <c r="I81" s="16">
        <v>45925</v>
      </c>
      <c r="J81" s="11" t="s">
        <v>308</v>
      </c>
      <c r="K81" s="12" t="s">
        <v>308</v>
      </c>
      <c r="L81" s="16">
        <v>45714</v>
      </c>
      <c r="M81" s="12" t="s">
        <v>41</v>
      </c>
      <c r="N81" s="11" t="s">
        <v>42</v>
      </c>
      <c r="O81" s="28">
        <v>4034681.64</v>
      </c>
      <c r="P81" s="2">
        <v>10</v>
      </c>
      <c r="Q81" s="25">
        <v>403468.16400000005</v>
      </c>
      <c r="R81" s="28">
        <v>1775215.29287019</v>
      </c>
      <c r="S81" s="28">
        <v>153777</v>
      </c>
      <c r="T81" s="28">
        <v>0</v>
      </c>
      <c r="U81" s="25">
        <v>2105689.3471298101</v>
      </c>
      <c r="V81" s="25">
        <v>7689</v>
      </c>
      <c r="W81" s="18">
        <v>0</v>
      </c>
      <c r="X81" s="13">
        <v>0</v>
      </c>
      <c r="Y81" s="13">
        <f t="shared" si="1"/>
        <v>0</v>
      </c>
      <c r="Z81" s="13"/>
      <c r="AA81" s="31"/>
      <c r="AB81" s="30"/>
    </row>
    <row r="82" spans="2:28">
      <c r="B82" s="11">
        <v>72</v>
      </c>
      <c r="C82" s="1" t="s">
        <v>449</v>
      </c>
      <c r="D82" s="1" t="s">
        <v>443</v>
      </c>
      <c r="E82" s="1" t="s">
        <v>444</v>
      </c>
      <c r="F82" s="29"/>
      <c r="G82" s="11">
        <v>2024</v>
      </c>
      <c r="H82" s="16">
        <v>45560</v>
      </c>
      <c r="I82" s="16">
        <v>45925</v>
      </c>
      <c r="J82" s="11" t="s">
        <v>308</v>
      </c>
      <c r="K82" s="12" t="s">
        <v>308</v>
      </c>
      <c r="L82" s="16">
        <v>45714</v>
      </c>
      <c r="M82" s="12" t="s">
        <v>41</v>
      </c>
      <c r="N82" s="11" t="s">
        <v>42</v>
      </c>
      <c r="O82" s="28">
        <v>4034681.64</v>
      </c>
      <c r="P82" s="2">
        <v>10</v>
      </c>
      <c r="Q82" s="25">
        <v>403468.16400000005</v>
      </c>
      <c r="R82" s="28">
        <v>1775215.29287019</v>
      </c>
      <c r="S82" s="28">
        <v>0</v>
      </c>
      <c r="T82" s="28">
        <v>41947</v>
      </c>
      <c r="U82" s="25">
        <v>2217519.3471298101</v>
      </c>
      <c r="V82" s="25">
        <v>0</v>
      </c>
      <c r="W82" s="18">
        <v>2097</v>
      </c>
      <c r="X82" s="13">
        <v>0</v>
      </c>
      <c r="Y82" s="13">
        <f t="shared" si="1"/>
        <v>0</v>
      </c>
      <c r="Z82" s="13"/>
      <c r="AA82" s="31"/>
      <c r="AB82" s="30"/>
    </row>
    <row r="83" spans="2:28">
      <c r="B83" s="11">
        <v>73</v>
      </c>
      <c r="C83" s="1" t="s">
        <v>450</v>
      </c>
      <c r="D83" s="1" t="s">
        <v>443</v>
      </c>
      <c r="E83" s="1" t="s">
        <v>444</v>
      </c>
      <c r="F83" s="29"/>
      <c r="G83" s="11">
        <v>2024</v>
      </c>
      <c r="H83" s="16">
        <v>45560</v>
      </c>
      <c r="I83" s="16">
        <v>45925</v>
      </c>
      <c r="J83" s="11" t="s">
        <v>308</v>
      </c>
      <c r="K83" s="12" t="s">
        <v>308</v>
      </c>
      <c r="L83" s="16">
        <v>45715</v>
      </c>
      <c r="M83" s="12" t="s">
        <v>41</v>
      </c>
      <c r="N83" s="11" t="s">
        <v>42</v>
      </c>
      <c r="O83" s="28">
        <v>4034681.64</v>
      </c>
      <c r="P83" s="2">
        <v>10</v>
      </c>
      <c r="Q83" s="25">
        <v>403468.16400000005</v>
      </c>
      <c r="R83" s="28">
        <v>1775215.29287019</v>
      </c>
      <c r="S83" s="28">
        <v>70751</v>
      </c>
      <c r="T83" s="28">
        <v>0</v>
      </c>
      <c r="U83" s="25">
        <v>2188715.3471298101</v>
      </c>
      <c r="V83" s="25">
        <v>3538</v>
      </c>
      <c r="W83" s="18">
        <v>0</v>
      </c>
      <c r="X83" s="13">
        <v>0</v>
      </c>
      <c r="Y83" s="13">
        <f t="shared" si="1"/>
        <v>0</v>
      </c>
      <c r="Z83" s="13"/>
      <c r="AA83" s="31"/>
      <c r="AB83" s="30"/>
    </row>
    <row r="84" spans="2:28">
      <c r="B84" s="11">
        <v>74</v>
      </c>
      <c r="C84" s="1" t="s">
        <v>450</v>
      </c>
      <c r="D84" s="1" t="s">
        <v>443</v>
      </c>
      <c r="E84" s="1" t="s">
        <v>444</v>
      </c>
      <c r="F84" s="29"/>
      <c r="G84" s="11">
        <v>2024</v>
      </c>
      <c r="H84" s="16">
        <v>45560</v>
      </c>
      <c r="I84" s="16">
        <v>45925</v>
      </c>
      <c r="J84" s="11" t="s">
        <v>308</v>
      </c>
      <c r="K84" s="12" t="s">
        <v>308</v>
      </c>
      <c r="L84" s="16">
        <v>45715</v>
      </c>
      <c r="M84" s="12" t="s">
        <v>41</v>
      </c>
      <c r="N84" s="11" t="s">
        <v>42</v>
      </c>
      <c r="O84" s="28">
        <v>4034681.64</v>
      </c>
      <c r="P84" s="2">
        <v>10</v>
      </c>
      <c r="Q84" s="25">
        <v>403468.16400000005</v>
      </c>
      <c r="R84" s="28">
        <v>1775215.29287019</v>
      </c>
      <c r="S84" s="28">
        <v>0</v>
      </c>
      <c r="T84" s="28">
        <v>19300</v>
      </c>
      <c r="U84" s="25">
        <v>2240166.3471298101</v>
      </c>
      <c r="V84" s="25">
        <v>0</v>
      </c>
      <c r="W84" s="18">
        <v>965</v>
      </c>
      <c r="X84" s="13">
        <v>0</v>
      </c>
      <c r="Y84" s="13">
        <f t="shared" si="1"/>
        <v>0</v>
      </c>
      <c r="Z84" s="13"/>
      <c r="AA84" s="31"/>
      <c r="AB84" s="30"/>
    </row>
    <row r="85" spans="2:28">
      <c r="B85" s="11">
        <v>75</v>
      </c>
      <c r="C85" s="1" t="s">
        <v>451</v>
      </c>
      <c r="D85" s="1" t="s">
        <v>443</v>
      </c>
      <c r="E85" s="1" t="s">
        <v>444</v>
      </c>
      <c r="F85" s="29"/>
      <c r="G85" s="11">
        <v>2024</v>
      </c>
      <c r="H85" s="16">
        <v>45560</v>
      </c>
      <c r="I85" s="16">
        <v>45925</v>
      </c>
      <c r="J85" s="11" t="s">
        <v>308</v>
      </c>
      <c r="K85" s="12" t="s">
        <v>308</v>
      </c>
      <c r="L85" s="16">
        <v>45755</v>
      </c>
      <c r="M85" s="12" t="s">
        <v>41</v>
      </c>
      <c r="N85" s="11" t="s">
        <v>42</v>
      </c>
      <c r="O85" s="28">
        <v>4034681.64</v>
      </c>
      <c r="P85" s="2">
        <v>10</v>
      </c>
      <c r="Q85" s="25">
        <v>403468.16400000005</v>
      </c>
      <c r="R85" s="28">
        <v>1775215.29287019</v>
      </c>
      <c r="S85" s="28">
        <v>1089360</v>
      </c>
      <c r="T85" s="28">
        <v>0</v>
      </c>
      <c r="U85" s="25">
        <v>1170106.3471298101</v>
      </c>
      <c r="V85" s="25">
        <v>54468</v>
      </c>
      <c r="W85" s="18">
        <v>0</v>
      </c>
      <c r="X85" s="13">
        <v>0</v>
      </c>
      <c r="Y85" s="13">
        <f t="shared" si="1"/>
        <v>0</v>
      </c>
      <c r="Z85" s="13"/>
      <c r="AA85" s="31"/>
      <c r="AB85" s="30"/>
    </row>
    <row r="86" spans="2:28">
      <c r="B86" s="11">
        <v>76</v>
      </c>
      <c r="C86" s="1" t="s">
        <v>451</v>
      </c>
      <c r="D86" s="1" t="s">
        <v>443</v>
      </c>
      <c r="E86" s="1" t="s">
        <v>444</v>
      </c>
      <c r="F86" s="29"/>
      <c r="G86" s="11">
        <v>2024</v>
      </c>
      <c r="H86" s="16">
        <v>45560</v>
      </c>
      <c r="I86" s="16">
        <v>45925</v>
      </c>
      <c r="J86" s="11" t="s">
        <v>308</v>
      </c>
      <c r="K86" s="12" t="s">
        <v>308</v>
      </c>
      <c r="L86" s="16">
        <v>45755</v>
      </c>
      <c r="M86" s="12" t="s">
        <v>41</v>
      </c>
      <c r="N86" s="11" t="s">
        <v>42</v>
      </c>
      <c r="O86" s="28">
        <v>4034681.64</v>
      </c>
      <c r="P86" s="2">
        <v>10</v>
      </c>
      <c r="Q86" s="25">
        <v>403468.16400000005</v>
      </c>
      <c r="R86" s="28">
        <v>1775215.29287019</v>
      </c>
      <c r="S86" s="28">
        <v>0</v>
      </c>
      <c r="T86" s="28">
        <v>297160</v>
      </c>
      <c r="U86" s="25">
        <v>1962306.3471298101</v>
      </c>
      <c r="V86" s="25">
        <v>0</v>
      </c>
      <c r="W86" s="18">
        <v>14858</v>
      </c>
      <c r="X86" s="13">
        <v>0</v>
      </c>
      <c r="Y86" s="13">
        <f t="shared" si="1"/>
        <v>0</v>
      </c>
      <c r="Z86" s="13"/>
      <c r="AA86" s="31"/>
      <c r="AB86" s="30"/>
    </row>
    <row r="87" spans="2:28">
      <c r="B87" s="11">
        <v>77</v>
      </c>
      <c r="C87" s="1" t="s">
        <v>452</v>
      </c>
      <c r="D87" s="1" t="s">
        <v>453</v>
      </c>
      <c r="E87" s="1" t="s">
        <v>454</v>
      </c>
      <c r="F87" s="29"/>
      <c r="G87" s="11">
        <v>2024</v>
      </c>
      <c r="H87" s="16">
        <v>45463</v>
      </c>
      <c r="I87" s="16">
        <v>46558</v>
      </c>
      <c r="J87" s="11" t="s">
        <v>308</v>
      </c>
      <c r="K87" s="12" t="s">
        <v>308</v>
      </c>
      <c r="L87" s="16">
        <v>45622</v>
      </c>
      <c r="M87" s="12" t="s">
        <v>41</v>
      </c>
      <c r="N87" s="11" t="s">
        <v>42</v>
      </c>
      <c r="O87" s="28">
        <v>14848824</v>
      </c>
      <c r="P87" s="2">
        <v>45</v>
      </c>
      <c r="Q87" s="25">
        <v>6681970.7999999998</v>
      </c>
      <c r="R87" s="28">
        <v>7424412</v>
      </c>
      <c r="S87" s="28">
        <v>7424412</v>
      </c>
      <c r="T87" s="28">
        <v>0</v>
      </c>
      <c r="U87" s="25">
        <v>0</v>
      </c>
      <c r="V87" s="25">
        <v>371221</v>
      </c>
      <c r="W87" s="18">
        <v>0</v>
      </c>
      <c r="X87" s="13">
        <v>0</v>
      </c>
      <c r="Y87" s="13">
        <f t="shared" si="1"/>
        <v>0</v>
      </c>
      <c r="Z87" s="13"/>
      <c r="AA87" s="31"/>
      <c r="AB87" s="30"/>
    </row>
    <row r="88" spans="2:28">
      <c r="B88" s="11">
        <v>78</v>
      </c>
      <c r="C88" s="1" t="s">
        <v>455</v>
      </c>
      <c r="D88" s="1" t="s">
        <v>456</v>
      </c>
      <c r="E88" s="1" t="s">
        <v>457</v>
      </c>
      <c r="F88" s="29"/>
      <c r="G88" s="11">
        <v>2024</v>
      </c>
      <c r="H88" s="16">
        <v>45536</v>
      </c>
      <c r="I88" s="16">
        <v>45901</v>
      </c>
      <c r="J88" s="11">
        <v>2902</v>
      </c>
      <c r="K88" s="12" t="s">
        <v>458</v>
      </c>
      <c r="L88" s="16">
        <v>45649</v>
      </c>
      <c r="M88" s="12" t="s">
        <v>41</v>
      </c>
      <c r="N88" s="11" t="s">
        <v>42</v>
      </c>
      <c r="O88" s="28">
        <v>2754700</v>
      </c>
      <c r="P88" s="2">
        <v>5</v>
      </c>
      <c r="Q88" s="25">
        <v>137735</v>
      </c>
      <c r="R88" s="28">
        <v>1377350</v>
      </c>
      <c r="S88" s="28">
        <v>1149850</v>
      </c>
      <c r="T88" s="28">
        <v>0</v>
      </c>
      <c r="U88" s="25">
        <v>227500</v>
      </c>
      <c r="V88" s="25">
        <v>57492</v>
      </c>
      <c r="W88" s="18">
        <v>0</v>
      </c>
      <c r="X88" s="13">
        <v>0</v>
      </c>
      <c r="Y88" s="13">
        <f t="shared" si="1"/>
        <v>0</v>
      </c>
      <c r="Z88" s="13"/>
      <c r="AA88" s="31"/>
      <c r="AB88" s="30"/>
    </row>
    <row r="89" spans="2:28">
      <c r="B89" s="11">
        <v>79</v>
      </c>
      <c r="C89" s="1" t="s">
        <v>459</v>
      </c>
      <c r="D89" s="1" t="s">
        <v>456</v>
      </c>
      <c r="E89" s="1" t="s">
        <v>457</v>
      </c>
      <c r="F89" s="29"/>
      <c r="G89" s="11">
        <v>2024</v>
      </c>
      <c r="H89" s="16">
        <v>45536</v>
      </c>
      <c r="I89" s="16">
        <v>45901</v>
      </c>
      <c r="J89" s="11">
        <v>2902</v>
      </c>
      <c r="K89" s="12" t="s">
        <v>458</v>
      </c>
      <c r="L89" s="16">
        <v>45635</v>
      </c>
      <c r="M89" s="12" t="s">
        <v>41</v>
      </c>
      <c r="N89" s="11" t="s">
        <v>42</v>
      </c>
      <c r="O89" s="28">
        <v>2754700</v>
      </c>
      <c r="P89" s="2">
        <v>5</v>
      </c>
      <c r="Q89" s="25">
        <v>137735</v>
      </c>
      <c r="R89" s="28">
        <v>1377350</v>
      </c>
      <c r="S89" s="28">
        <v>227500</v>
      </c>
      <c r="T89" s="28">
        <v>0</v>
      </c>
      <c r="U89" s="25">
        <v>1149850</v>
      </c>
      <c r="V89" s="25">
        <v>11375</v>
      </c>
      <c r="W89" s="18">
        <v>0</v>
      </c>
      <c r="X89" s="13">
        <v>1988650</v>
      </c>
      <c r="Y89" s="13">
        <f t="shared" si="1"/>
        <v>99432.5</v>
      </c>
      <c r="Z89" s="13"/>
      <c r="AA89" s="31"/>
      <c r="AB89" s="30"/>
    </row>
    <row r="90" spans="2:28">
      <c r="B90" s="11">
        <v>80</v>
      </c>
      <c r="C90" s="1" t="s">
        <v>460</v>
      </c>
      <c r="D90" s="1" t="s">
        <v>461</v>
      </c>
      <c r="E90" s="1" t="s">
        <v>329</v>
      </c>
      <c r="F90" s="29" t="s">
        <v>307</v>
      </c>
      <c r="G90" s="11">
        <v>2024</v>
      </c>
      <c r="H90" s="16">
        <v>45606</v>
      </c>
      <c r="I90" s="16">
        <v>45971</v>
      </c>
      <c r="J90" s="11">
        <v>2028</v>
      </c>
      <c r="K90" s="12" t="s">
        <v>330</v>
      </c>
      <c r="L90" s="16">
        <v>45631</v>
      </c>
      <c r="M90" s="12" t="s">
        <v>41</v>
      </c>
      <c r="N90" s="11" t="s">
        <v>42</v>
      </c>
      <c r="O90" s="25">
        <v>19508496.800000001</v>
      </c>
      <c r="P90" s="2">
        <v>20</v>
      </c>
      <c r="Q90" s="25">
        <v>3901699.3600000003</v>
      </c>
      <c r="R90" s="25">
        <v>9754248.4000000004</v>
      </c>
      <c r="S90" s="25">
        <v>9754248</v>
      </c>
      <c r="T90" s="25">
        <v>0</v>
      </c>
      <c r="U90" s="25">
        <v>0.40000000037252903</v>
      </c>
      <c r="V90" s="25">
        <v>487712</v>
      </c>
      <c r="W90" s="13">
        <v>0</v>
      </c>
      <c r="X90" s="13">
        <v>1711800</v>
      </c>
      <c r="Y90" s="13">
        <f t="shared" si="1"/>
        <v>85590</v>
      </c>
      <c r="Z90" s="13"/>
      <c r="AA90" s="31"/>
      <c r="AB90" s="30"/>
    </row>
    <row r="91" spans="2:28">
      <c r="B91" s="11">
        <v>81</v>
      </c>
      <c r="C91" s="1" t="s">
        <v>462</v>
      </c>
      <c r="D91" s="1" t="s">
        <v>463</v>
      </c>
      <c r="E91" s="1" t="s">
        <v>464</v>
      </c>
      <c r="F91" s="29" t="s">
        <v>307</v>
      </c>
      <c r="G91" s="11">
        <v>2024</v>
      </c>
      <c r="H91" s="16">
        <v>45657</v>
      </c>
      <c r="I91" s="16">
        <v>46022</v>
      </c>
      <c r="J91" s="11">
        <v>2974</v>
      </c>
      <c r="K91" s="12" t="s">
        <v>465</v>
      </c>
      <c r="L91" s="16">
        <v>45702</v>
      </c>
      <c r="M91" s="12" t="s">
        <v>41</v>
      </c>
      <c r="N91" s="11" t="s">
        <v>42</v>
      </c>
      <c r="O91" s="28">
        <v>5927225</v>
      </c>
      <c r="P91" s="2">
        <v>10</v>
      </c>
      <c r="Q91" s="25">
        <v>592722.5</v>
      </c>
      <c r="R91" s="28">
        <v>2963612.5</v>
      </c>
      <c r="S91" s="28">
        <v>2963612</v>
      </c>
      <c r="T91" s="28">
        <v>0</v>
      </c>
      <c r="U91" s="25">
        <v>0.5</v>
      </c>
      <c r="V91" s="25">
        <v>148181</v>
      </c>
      <c r="W91" s="18">
        <v>0</v>
      </c>
      <c r="X91" s="13">
        <v>0</v>
      </c>
      <c r="Y91" s="13">
        <f t="shared" si="1"/>
        <v>0</v>
      </c>
      <c r="Z91" s="13"/>
      <c r="AA91" s="31"/>
      <c r="AB91" s="30"/>
    </row>
    <row r="92" spans="2:28">
      <c r="B92" s="11">
        <v>82</v>
      </c>
      <c r="C92" s="1" t="s">
        <v>466</v>
      </c>
      <c r="D92" s="1" t="s">
        <v>467</v>
      </c>
      <c r="E92" s="1" t="s">
        <v>468</v>
      </c>
      <c r="F92" s="29" t="s">
        <v>307</v>
      </c>
      <c r="G92" s="11">
        <v>2024</v>
      </c>
      <c r="H92" s="16">
        <v>45327</v>
      </c>
      <c r="I92" s="16">
        <v>45693</v>
      </c>
      <c r="J92" s="11" t="s">
        <v>308</v>
      </c>
      <c r="K92" s="12" t="s">
        <v>308</v>
      </c>
      <c r="L92" s="16">
        <v>45635</v>
      </c>
      <c r="M92" s="12" t="s">
        <v>41</v>
      </c>
      <c r="N92" s="11" t="s">
        <v>42</v>
      </c>
      <c r="O92" s="25">
        <v>4000000</v>
      </c>
      <c r="P92" s="2">
        <v>20</v>
      </c>
      <c r="Q92" s="25">
        <v>800000</v>
      </c>
      <c r="R92" s="25">
        <v>2000000</v>
      </c>
      <c r="S92" s="25">
        <v>2000000</v>
      </c>
      <c r="T92" s="25">
        <v>0</v>
      </c>
      <c r="U92" s="25">
        <v>0</v>
      </c>
      <c r="V92" s="25">
        <v>100000</v>
      </c>
      <c r="W92" s="13">
        <v>0</v>
      </c>
      <c r="X92" s="13">
        <v>0</v>
      </c>
      <c r="Y92" s="13">
        <f t="shared" si="1"/>
        <v>0</v>
      </c>
      <c r="Z92" s="13"/>
      <c r="AA92" s="31"/>
      <c r="AB92" s="30"/>
    </row>
    <row r="93" spans="2:28">
      <c r="B93" s="11">
        <v>83</v>
      </c>
      <c r="C93" s="1" t="s">
        <v>469</v>
      </c>
      <c r="D93" s="1" t="s">
        <v>470</v>
      </c>
      <c r="E93" s="1" t="s">
        <v>471</v>
      </c>
      <c r="F93" s="29" t="s">
        <v>307</v>
      </c>
      <c r="G93" s="11">
        <v>2024</v>
      </c>
      <c r="H93" s="16">
        <v>45337</v>
      </c>
      <c r="I93" s="16">
        <v>45703</v>
      </c>
      <c r="J93" s="11" t="s">
        <v>308</v>
      </c>
      <c r="K93" s="12" t="s">
        <v>308</v>
      </c>
      <c r="L93" s="16">
        <v>45490</v>
      </c>
      <c r="M93" s="12" t="s">
        <v>41</v>
      </c>
      <c r="N93" s="11" t="s">
        <v>42</v>
      </c>
      <c r="O93" s="25">
        <v>1851588000</v>
      </c>
      <c r="P93" s="2">
        <v>12.5</v>
      </c>
      <c r="Q93" s="25">
        <v>231448500</v>
      </c>
      <c r="R93" s="25">
        <v>925794000</v>
      </c>
      <c r="S93" s="25">
        <v>925794000</v>
      </c>
      <c r="T93" s="25">
        <v>0</v>
      </c>
      <c r="U93" s="25">
        <v>0</v>
      </c>
      <c r="V93" s="25">
        <v>46289700</v>
      </c>
      <c r="W93" s="13">
        <v>0</v>
      </c>
      <c r="X93" s="13">
        <v>0</v>
      </c>
      <c r="Y93" s="13">
        <f t="shared" si="1"/>
        <v>0</v>
      </c>
      <c r="Z93" s="13"/>
      <c r="AA93" s="31"/>
      <c r="AB93" s="30"/>
    </row>
    <row r="94" spans="2:28">
      <c r="B94" s="11">
        <v>84</v>
      </c>
      <c r="C94" s="1" t="s">
        <v>472</v>
      </c>
      <c r="D94" s="1" t="s">
        <v>473</v>
      </c>
      <c r="E94" s="1" t="s">
        <v>474</v>
      </c>
      <c r="F94" s="29" t="s">
        <v>307</v>
      </c>
      <c r="G94" s="11">
        <v>2024</v>
      </c>
      <c r="H94" s="16">
        <v>45408</v>
      </c>
      <c r="I94" s="16">
        <v>45773</v>
      </c>
      <c r="J94" s="11" t="s">
        <v>308</v>
      </c>
      <c r="K94" s="12" t="s">
        <v>308</v>
      </c>
      <c r="L94" s="16">
        <v>45482</v>
      </c>
      <c r="M94" s="12" t="s">
        <v>41</v>
      </c>
      <c r="N94" s="11" t="s">
        <v>42</v>
      </c>
      <c r="O94" s="25">
        <v>14016122</v>
      </c>
      <c r="P94" s="2">
        <v>20</v>
      </c>
      <c r="Q94" s="25">
        <v>2803224.4000000004</v>
      </c>
      <c r="R94" s="25">
        <v>7008061</v>
      </c>
      <c r="S94" s="25">
        <v>7008061</v>
      </c>
      <c r="T94" s="25">
        <v>0</v>
      </c>
      <c r="U94" s="25">
        <v>0</v>
      </c>
      <c r="V94" s="25">
        <v>350403</v>
      </c>
      <c r="W94" s="13">
        <v>0</v>
      </c>
      <c r="X94" s="13">
        <v>0</v>
      </c>
      <c r="Y94" s="13">
        <f t="shared" si="1"/>
        <v>0</v>
      </c>
      <c r="Z94" s="13"/>
      <c r="AA94" s="31"/>
      <c r="AB94" s="30"/>
    </row>
    <row r="95" spans="2:28">
      <c r="B95" s="11">
        <v>85</v>
      </c>
      <c r="C95" s="1" t="s">
        <v>475</v>
      </c>
      <c r="D95" s="1" t="s">
        <v>476</v>
      </c>
      <c r="E95" s="1" t="s">
        <v>477</v>
      </c>
      <c r="F95" s="29" t="s">
        <v>307</v>
      </c>
      <c r="G95" s="11">
        <v>2024</v>
      </c>
      <c r="H95" s="16">
        <v>45410</v>
      </c>
      <c r="I95" s="16">
        <v>45775</v>
      </c>
      <c r="J95" s="11" t="s">
        <v>308</v>
      </c>
      <c r="K95" s="12" t="s">
        <v>308</v>
      </c>
      <c r="L95" s="16">
        <v>45511</v>
      </c>
      <c r="M95" s="12" t="s">
        <v>41</v>
      </c>
      <c r="N95" s="11" t="s">
        <v>42</v>
      </c>
      <c r="O95" s="25">
        <v>128495765</v>
      </c>
      <c r="P95" s="2">
        <v>12.5</v>
      </c>
      <c r="Q95" s="25">
        <v>16061970.625</v>
      </c>
      <c r="R95" s="25">
        <v>64247882.5</v>
      </c>
      <c r="S95" s="25">
        <v>64247883</v>
      </c>
      <c r="T95" s="25">
        <v>0</v>
      </c>
      <c r="U95" s="25">
        <v>-0.5</v>
      </c>
      <c r="V95" s="25">
        <v>3212394</v>
      </c>
      <c r="W95" s="13">
        <v>0</v>
      </c>
      <c r="X95" s="13">
        <v>0</v>
      </c>
      <c r="Y95" s="13">
        <f t="shared" si="1"/>
        <v>0</v>
      </c>
      <c r="Z95" s="13"/>
      <c r="AA95" s="31"/>
      <c r="AB95" s="30"/>
    </row>
    <row r="96" spans="2:28">
      <c r="B96" s="11">
        <v>86</v>
      </c>
      <c r="C96" s="1" t="s">
        <v>478</v>
      </c>
      <c r="D96" s="1" t="s">
        <v>479</v>
      </c>
      <c r="E96" s="1" t="s">
        <v>480</v>
      </c>
      <c r="F96" s="29" t="s">
        <v>307</v>
      </c>
      <c r="G96" s="11">
        <v>2024</v>
      </c>
      <c r="H96" s="16">
        <v>45618</v>
      </c>
      <c r="I96" s="16">
        <v>45983</v>
      </c>
      <c r="J96" s="11" t="s">
        <v>308</v>
      </c>
      <c r="K96" s="12" t="s">
        <v>308</v>
      </c>
      <c r="L96" s="16">
        <v>45661</v>
      </c>
      <c r="M96" s="12" t="s">
        <v>41</v>
      </c>
      <c r="N96" s="11" t="s">
        <v>42</v>
      </c>
      <c r="O96" s="28">
        <v>107183779.2</v>
      </c>
      <c r="P96" s="2">
        <v>40</v>
      </c>
      <c r="Q96" s="25">
        <v>42873511.680000007</v>
      </c>
      <c r="R96" s="28">
        <v>53591889.600000001</v>
      </c>
      <c r="S96" s="28">
        <v>53591890</v>
      </c>
      <c r="T96" s="28">
        <v>0</v>
      </c>
      <c r="U96" s="25">
        <v>-0.39999999850988388</v>
      </c>
      <c r="V96" s="25">
        <v>2679594</v>
      </c>
      <c r="W96" s="18">
        <v>0</v>
      </c>
      <c r="X96" s="13">
        <v>0</v>
      </c>
      <c r="Y96" s="13">
        <f t="shared" si="1"/>
        <v>0</v>
      </c>
      <c r="Z96" s="13"/>
      <c r="AA96" s="31"/>
      <c r="AB96" s="30"/>
    </row>
    <row r="97" spans="2:28">
      <c r="B97" s="11">
        <v>87</v>
      </c>
      <c r="C97" s="1" t="s">
        <v>481</v>
      </c>
      <c r="D97" s="1" t="s">
        <v>479</v>
      </c>
      <c r="E97" s="1" t="s">
        <v>480</v>
      </c>
      <c r="F97" s="29" t="s">
        <v>307</v>
      </c>
      <c r="G97" s="11">
        <v>2024</v>
      </c>
      <c r="H97" s="16">
        <v>45618</v>
      </c>
      <c r="I97" s="16">
        <v>45983</v>
      </c>
      <c r="J97" s="11" t="s">
        <v>308</v>
      </c>
      <c r="K97" s="12" t="s">
        <v>308</v>
      </c>
      <c r="L97" s="16">
        <v>45661</v>
      </c>
      <c r="M97" s="12" t="s">
        <v>41</v>
      </c>
      <c r="N97" s="11" t="s">
        <v>42</v>
      </c>
      <c r="O97" s="25">
        <v>155936995.19999999</v>
      </c>
      <c r="P97" s="2">
        <v>40</v>
      </c>
      <c r="Q97" s="25">
        <v>62374798.079999998</v>
      </c>
      <c r="R97" s="25">
        <v>77968497.599999994</v>
      </c>
      <c r="S97" s="25">
        <v>77968498</v>
      </c>
      <c r="T97" s="25">
        <v>0</v>
      </c>
      <c r="U97" s="25">
        <v>-0.40000000596046448</v>
      </c>
      <c r="V97" s="25">
        <v>3898425</v>
      </c>
      <c r="W97" s="13">
        <v>0</v>
      </c>
      <c r="X97" s="13">
        <v>0</v>
      </c>
      <c r="Y97" s="13">
        <f t="shared" si="1"/>
        <v>0</v>
      </c>
      <c r="Z97" s="13"/>
      <c r="AA97" s="31"/>
      <c r="AB97" s="30"/>
    </row>
    <row r="98" spans="2:28">
      <c r="B98" s="11">
        <v>88</v>
      </c>
      <c r="C98" s="1" t="s">
        <v>482</v>
      </c>
      <c r="D98" s="1" t="s">
        <v>483</v>
      </c>
      <c r="E98" s="1" t="s">
        <v>484</v>
      </c>
      <c r="F98" s="29" t="s">
        <v>307</v>
      </c>
      <c r="G98" s="11">
        <v>2024</v>
      </c>
      <c r="H98" s="16">
        <v>45313</v>
      </c>
      <c r="I98" s="16">
        <v>45679</v>
      </c>
      <c r="J98" s="11">
        <v>20</v>
      </c>
      <c r="K98" s="12" t="s">
        <v>485</v>
      </c>
      <c r="L98" s="16">
        <v>45413</v>
      </c>
      <c r="M98" s="12" t="s">
        <v>41</v>
      </c>
      <c r="N98" s="11" t="s">
        <v>42</v>
      </c>
      <c r="O98" s="25">
        <v>2806954</v>
      </c>
      <c r="P98" s="2">
        <v>20</v>
      </c>
      <c r="Q98" s="25">
        <v>561390.80000000005</v>
      </c>
      <c r="R98" s="25">
        <v>1403477</v>
      </c>
      <c r="S98" s="25">
        <v>1403478</v>
      </c>
      <c r="T98" s="25">
        <v>0</v>
      </c>
      <c r="U98" s="25">
        <v>-1</v>
      </c>
      <c r="V98" s="25">
        <v>70174</v>
      </c>
      <c r="W98" s="13">
        <v>0</v>
      </c>
      <c r="X98" s="13">
        <v>0</v>
      </c>
      <c r="Y98" s="13">
        <f t="shared" si="1"/>
        <v>0</v>
      </c>
      <c r="Z98" s="13"/>
      <c r="AA98" s="31"/>
      <c r="AB98" s="30"/>
    </row>
    <row r="99" spans="2:28">
      <c r="F99"/>
    </row>
    <row r="100" spans="2:28">
      <c r="F100"/>
      <c r="V100" s="17">
        <f>SUBTOTAL(9,V11:V98)</f>
        <v>254161205.62</v>
      </c>
      <c r="W100" s="17">
        <f>SUBTOTAL(9,W11:W98)</f>
        <v>101460932.20999999</v>
      </c>
      <c r="X100" s="19"/>
    </row>
    <row r="101" spans="2:28">
      <c r="F101"/>
      <c r="W101" s="19"/>
    </row>
    <row r="102" spans="2:28">
      <c r="F102"/>
    </row>
    <row r="103" spans="2:28">
      <c r="F103"/>
    </row>
    <row r="104" spans="2:28">
      <c r="F104"/>
      <c r="G104"/>
    </row>
    <row r="105" spans="2:28">
      <c r="F105"/>
      <c r="G105"/>
    </row>
    <row r="106" spans="2:28">
      <c r="F106"/>
      <c r="G106"/>
    </row>
    <row r="107" spans="2:28">
      <c r="F107"/>
      <c r="G107"/>
    </row>
    <row r="108" spans="2:28">
      <c r="F108"/>
      <c r="G108"/>
    </row>
    <row r="109" spans="2:28">
      <c r="F109"/>
      <c r="G109"/>
    </row>
    <row r="110" spans="2:28">
      <c r="F110"/>
      <c r="G110"/>
      <c r="L110"/>
      <c r="N110"/>
    </row>
    <row r="111" spans="2:28">
      <c r="F111"/>
      <c r="G111"/>
      <c r="L111"/>
      <c r="N111"/>
    </row>
    <row r="112" spans="2:28">
      <c r="F112"/>
      <c r="G112"/>
      <c r="L112"/>
      <c r="N112"/>
    </row>
    <row r="113" spans="6:14">
      <c r="F113"/>
      <c r="G113"/>
      <c r="L113"/>
      <c r="N113"/>
    </row>
    <row r="114" spans="6:14">
      <c r="F114"/>
      <c r="G114"/>
      <c r="L114"/>
      <c r="N114"/>
    </row>
    <row r="115" spans="6:14">
      <c r="F115"/>
      <c r="G115"/>
      <c r="L115"/>
      <c r="N115"/>
    </row>
    <row r="116" spans="6:14">
      <c r="F116"/>
      <c r="G116"/>
      <c r="L116"/>
      <c r="N116"/>
    </row>
    <row r="117" spans="6:14">
      <c r="F117"/>
      <c r="G117"/>
    </row>
    <row r="118" spans="6:14">
      <c r="F118"/>
      <c r="G118"/>
    </row>
    <row r="119" spans="6:14">
      <c r="F119"/>
      <c r="G119"/>
    </row>
    <row r="120" spans="6:14">
      <c r="F120"/>
      <c r="G120"/>
    </row>
    <row r="121" spans="6:14">
      <c r="F121"/>
      <c r="G121"/>
    </row>
    <row r="122" spans="6:14">
      <c r="F122"/>
      <c r="G122"/>
    </row>
    <row r="123" spans="6:14">
      <c r="F123"/>
      <c r="G123"/>
    </row>
    <row r="124" spans="6:14">
      <c r="F124"/>
      <c r="G124"/>
    </row>
    <row r="125" spans="6:14">
      <c r="F125"/>
      <c r="G125"/>
    </row>
    <row r="126" spans="6:14">
      <c r="F126"/>
      <c r="G126"/>
    </row>
    <row r="127" spans="6:14">
      <c r="F127"/>
      <c r="G127"/>
    </row>
    <row r="128" spans="6:14">
      <c r="F128"/>
      <c r="G128"/>
    </row>
    <row r="129" spans="6:7">
      <c r="F129"/>
      <c r="G129"/>
    </row>
    <row r="130" spans="6:7">
      <c r="F130"/>
      <c r="G130"/>
    </row>
    <row r="131" spans="6:7">
      <c r="F131"/>
      <c r="G131"/>
    </row>
    <row r="132" spans="6:7">
      <c r="F132"/>
      <c r="G132"/>
    </row>
    <row r="133" spans="6:7">
      <c r="F133"/>
      <c r="G133"/>
    </row>
    <row r="134" spans="6:7">
      <c r="F134"/>
      <c r="G134"/>
    </row>
    <row r="135" spans="6:7">
      <c r="F135"/>
      <c r="G135"/>
    </row>
    <row r="136" spans="6:7">
      <c r="F136"/>
      <c r="G136"/>
    </row>
    <row r="137" spans="6:7">
      <c r="F137"/>
      <c r="G137"/>
    </row>
    <row r="138" spans="6:7">
      <c r="F138"/>
      <c r="G138"/>
    </row>
    <row r="139" spans="6:7">
      <c r="F139"/>
      <c r="G139"/>
    </row>
    <row r="140" spans="6:7">
      <c r="F140"/>
      <c r="G140"/>
    </row>
    <row r="141" spans="6:7">
      <c r="F141"/>
      <c r="G141"/>
    </row>
    <row r="142" spans="6:7">
      <c r="F142"/>
      <c r="G142"/>
    </row>
    <row r="143" spans="6:7">
      <c r="F143"/>
      <c r="G143"/>
    </row>
    <row r="144" spans="6:7">
      <c r="F144"/>
      <c r="G144"/>
    </row>
    <row r="145" spans="6:7">
      <c r="F145"/>
      <c r="G145"/>
    </row>
    <row r="146" spans="6:7">
      <c r="F146"/>
      <c r="G146"/>
    </row>
    <row r="147" spans="6:7">
      <c r="F147"/>
      <c r="G147"/>
    </row>
    <row r="148" spans="6:7">
      <c r="F148"/>
      <c r="G148"/>
    </row>
    <row r="149" spans="6:7">
      <c r="F149"/>
      <c r="G149"/>
    </row>
    <row r="150" spans="6:7">
      <c r="F150"/>
      <c r="G150"/>
    </row>
    <row r="151" spans="6:7">
      <c r="F151"/>
      <c r="G151"/>
    </row>
    <row r="152" spans="6:7">
      <c r="F152"/>
      <c r="G152"/>
    </row>
    <row r="153" spans="6:7">
      <c r="F153"/>
      <c r="G153"/>
    </row>
    <row r="154" spans="6:7">
      <c r="F154"/>
      <c r="G154"/>
    </row>
    <row r="155" spans="6:7">
      <c r="F155"/>
      <c r="G155"/>
    </row>
    <row r="156" spans="6:7">
      <c r="F156"/>
      <c r="G156"/>
    </row>
    <row r="157" spans="6:7">
      <c r="F157"/>
      <c r="G157"/>
    </row>
    <row r="158" spans="6:7">
      <c r="F158"/>
      <c r="G158"/>
    </row>
    <row r="159" spans="6:7">
      <c r="F159"/>
      <c r="G159"/>
    </row>
    <row r="160" spans="6: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6:7">
      <c r="F273"/>
      <c r="G273"/>
    </row>
    <row r="274" spans="6:7">
      <c r="F274"/>
      <c r="G274"/>
    </row>
    <row r="275" spans="6:7">
      <c r="F275"/>
      <c r="G275"/>
    </row>
    <row r="276" spans="6:7">
      <c r="F276"/>
      <c r="G276"/>
    </row>
    <row r="277" spans="6:7">
      <c r="F277"/>
      <c r="G277"/>
    </row>
    <row r="278" spans="6:7">
      <c r="F278"/>
      <c r="G278"/>
    </row>
    <row r="279" spans="6:7">
      <c r="F279"/>
      <c r="G279"/>
    </row>
    <row r="280" spans="6:7">
      <c r="F280"/>
      <c r="G280"/>
    </row>
    <row r="281" spans="6:7">
      <c r="F281"/>
      <c r="G281"/>
    </row>
    <row r="282" spans="6:7">
      <c r="F282"/>
      <c r="G282"/>
    </row>
    <row r="283" spans="6:7">
      <c r="F283"/>
      <c r="G283"/>
    </row>
    <row r="284" spans="6:7">
      <c r="F284"/>
      <c r="G284"/>
    </row>
    <row r="285" spans="6:7">
      <c r="F285"/>
      <c r="G285"/>
    </row>
    <row r="286" spans="6:7">
      <c r="F286"/>
      <c r="G286"/>
    </row>
    <row r="287" spans="6:7">
      <c r="F287"/>
      <c r="G287"/>
    </row>
    <row r="288" spans="6:7">
      <c r="F288"/>
      <c r="G288"/>
    </row>
  </sheetData>
  <autoFilter ref="B10:Z98" xr:uid="{00000000-0001-0000-0100-000000000000}">
    <sortState xmlns:xlrd2="http://schemas.microsoft.com/office/spreadsheetml/2017/richdata2" ref="B38:Z54">
      <sortCondition ref="C10:C98"/>
    </sortState>
  </autoFilter>
  <mergeCells count="20">
    <mergeCell ref="N9:N10"/>
    <mergeCell ref="B9:B10"/>
    <mergeCell ref="C9:C10"/>
    <mergeCell ref="D9:D10"/>
    <mergeCell ref="E9:E10"/>
    <mergeCell ref="F9:F10"/>
    <mergeCell ref="G9:G10"/>
    <mergeCell ref="H9:I9"/>
    <mergeCell ref="J9:J10"/>
    <mergeCell ref="K9:K10"/>
    <mergeCell ref="L9:L10"/>
    <mergeCell ref="M9:M10"/>
    <mergeCell ref="Y9:Y10"/>
    <mergeCell ref="Z9:Z10"/>
    <mergeCell ref="O9:O10"/>
    <mergeCell ref="P9:Q9"/>
    <mergeCell ref="R9:U9"/>
    <mergeCell ref="V9:V10"/>
    <mergeCell ref="W9:W10"/>
    <mergeCell ref="X9:X1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1DF0-CC91-4A56-91B7-BA63FE89E1B2}">
  <sheetPr>
    <tabColor rgb="FF00B050"/>
  </sheetPr>
  <dimension ref="B2:AA30"/>
  <sheetViews>
    <sheetView showGridLines="0" zoomScale="70" zoomScaleNormal="70" workbookViewId="0">
      <pane xSplit="7" ySplit="10" topLeftCell="H11" activePane="bottomRight" state="frozen"/>
      <selection pane="bottomRight" activeCell="X12" sqref="X12"/>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9.7109375" customWidth="1"/>
    <col min="20" max="20" width="17.7109375" bestFit="1" customWidth="1"/>
    <col min="21" max="21" width="18.85546875" bestFit="1" customWidth="1"/>
    <col min="22" max="22" width="17.7109375" bestFit="1" customWidth="1"/>
    <col min="23" max="23" width="23.28515625" bestFit="1" customWidth="1"/>
    <col min="24" max="24" width="19.85546875" customWidth="1"/>
    <col min="25" max="25" width="21" customWidth="1"/>
  </cols>
  <sheetData>
    <row r="2" spans="2:27" ht="18">
      <c r="B2" s="8" t="s">
        <v>0</v>
      </c>
    </row>
    <row r="3" spans="2:27">
      <c r="B3" s="7" t="s">
        <v>1</v>
      </c>
      <c r="D3" s="9" t="s">
        <v>2</v>
      </c>
      <c r="E3" s="6"/>
    </row>
    <row r="4" spans="2:27">
      <c r="B4" s="7" t="s">
        <v>3</v>
      </c>
      <c r="D4" s="10" t="s">
        <v>486</v>
      </c>
      <c r="E4" s="5"/>
    </row>
    <row r="5" spans="2:27">
      <c r="B5" s="7" t="s">
        <v>6</v>
      </c>
      <c r="D5" s="10" t="s">
        <v>7</v>
      </c>
      <c r="E5" s="5"/>
    </row>
    <row r="7" spans="2:27">
      <c r="W7" s="19"/>
    </row>
    <row r="8" spans="2:27">
      <c r="G8"/>
      <c r="H8"/>
      <c r="I8"/>
      <c r="J8"/>
      <c r="L8"/>
      <c r="N8"/>
    </row>
    <row r="9" spans="2:27"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549</v>
      </c>
      <c r="W9" s="37" t="s">
        <v>25</v>
      </c>
      <c r="X9" s="37" t="s">
        <v>550</v>
      </c>
      <c r="Y9" s="37" t="s">
        <v>27</v>
      </c>
    </row>
    <row r="10" spans="2:27"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row>
    <row r="11" spans="2:27" s="14" customFormat="1">
      <c r="B11" s="11">
        <v>1</v>
      </c>
      <c r="C11" s="12" t="s">
        <v>488</v>
      </c>
      <c r="D11" s="12" t="s">
        <v>489</v>
      </c>
      <c r="E11" s="12" t="s">
        <v>490</v>
      </c>
      <c r="F11" s="12" t="s">
        <v>491</v>
      </c>
      <c r="G11" s="11">
        <v>2024</v>
      </c>
      <c r="H11" s="16">
        <v>45596</v>
      </c>
      <c r="I11" s="16">
        <v>46326</v>
      </c>
      <c r="J11" s="11">
        <v>2971</v>
      </c>
      <c r="K11" s="12" t="s">
        <v>492</v>
      </c>
      <c r="L11" s="16">
        <v>45695</v>
      </c>
      <c r="M11" s="12" t="s">
        <v>213</v>
      </c>
      <c r="N11" s="11" t="s">
        <v>42</v>
      </c>
      <c r="O11" s="25">
        <v>1171500</v>
      </c>
      <c r="P11" s="2">
        <v>100</v>
      </c>
      <c r="Q11" s="25">
        <v>1171500</v>
      </c>
      <c r="R11" s="25">
        <v>702900</v>
      </c>
      <c r="S11" s="25">
        <v>0</v>
      </c>
      <c r="T11" s="25">
        <v>468600</v>
      </c>
      <c r="U11" s="25">
        <v>0</v>
      </c>
      <c r="V11" s="18">
        <v>23430</v>
      </c>
      <c r="W11" s="13">
        <v>0</v>
      </c>
      <c r="X11" s="13">
        <f>W11*5%</f>
        <v>0</v>
      </c>
      <c r="Y11" s="13"/>
      <c r="Z11" s="31"/>
      <c r="AA11" s="30"/>
    </row>
    <row r="12" spans="2:27" s="14" customFormat="1">
      <c r="B12" s="11">
        <v>2</v>
      </c>
      <c r="C12" s="12" t="s">
        <v>493</v>
      </c>
      <c r="D12" s="12" t="s">
        <v>494</v>
      </c>
      <c r="E12" s="12" t="s">
        <v>495</v>
      </c>
      <c r="F12" s="12" t="s">
        <v>491</v>
      </c>
      <c r="G12" s="11">
        <v>2024</v>
      </c>
      <c r="H12" s="16">
        <v>45575</v>
      </c>
      <c r="I12" s="16">
        <v>45940</v>
      </c>
      <c r="J12" s="11" t="s">
        <v>308</v>
      </c>
      <c r="K12" s="12" t="s">
        <v>308</v>
      </c>
      <c r="L12" s="16">
        <v>45707</v>
      </c>
      <c r="M12" s="12" t="s">
        <v>41</v>
      </c>
      <c r="N12" s="11" t="s">
        <v>42</v>
      </c>
      <c r="O12" s="25">
        <v>2430000</v>
      </c>
      <c r="P12" s="2">
        <v>30</v>
      </c>
      <c r="Q12" s="25">
        <v>729000</v>
      </c>
      <c r="R12" s="25">
        <v>324000</v>
      </c>
      <c r="S12" s="25">
        <v>0</v>
      </c>
      <c r="T12" s="25">
        <v>2106000</v>
      </c>
      <c r="U12" s="25">
        <v>0</v>
      </c>
      <c r="V12" s="18">
        <v>105300</v>
      </c>
      <c r="W12" s="13">
        <v>0</v>
      </c>
      <c r="X12" s="13">
        <f>W12*5%</f>
        <v>0</v>
      </c>
      <c r="Y12" s="13"/>
      <c r="Z12" s="31"/>
      <c r="AA12" s="30"/>
    </row>
    <row r="14" spans="2:27">
      <c r="V14" s="17">
        <f>SUBTOTAL(9,V11:V12)</f>
        <v>128730</v>
      </c>
      <c r="W14" s="19"/>
    </row>
    <row r="15" spans="2:27">
      <c r="V15" s="19"/>
    </row>
    <row r="24" spans="12:14">
      <c r="L24"/>
      <c r="N24"/>
    </row>
    <row r="25" spans="12:14">
      <c r="L25"/>
      <c r="N25"/>
    </row>
    <row r="26" spans="12:14">
      <c r="L26"/>
      <c r="N26"/>
    </row>
    <row r="27" spans="12:14">
      <c r="L27"/>
      <c r="N27"/>
    </row>
    <row r="28" spans="12:14">
      <c r="L28"/>
      <c r="N28"/>
    </row>
    <row r="29" spans="12:14">
      <c r="L29"/>
      <c r="N29"/>
    </row>
    <row r="30" spans="12:14">
      <c r="L30"/>
      <c r="N30"/>
    </row>
  </sheetData>
  <autoFilter ref="B10:Y12" xr:uid="{00000000-0001-0000-0100-000000000000}"/>
  <mergeCells count="19">
    <mergeCell ref="N9:N10"/>
    <mergeCell ref="B9:B10"/>
    <mergeCell ref="C9:C10"/>
    <mergeCell ref="D9:D10"/>
    <mergeCell ref="E9:E10"/>
    <mergeCell ref="F9:F10"/>
    <mergeCell ref="G9:G10"/>
    <mergeCell ref="H9:I9"/>
    <mergeCell ref="J9:J10"/>
    <mergeCell ref="K9:K10"/>
    <mergeCell ref="L9:L10"/>
    <mergeCell ref="M9:M10"/>
    <mergeCell ref="Y9:Y10"/>
    <mergeCell ref="O9:O10"/>
    <mergeCell ref="P9:Q9"/>
    <mergeCell ref="R9:U9"/>
    <mergeCell ref="V9:V10"/>
    <mergeCell ref="W9:W10"/>
    <mergeCell ref="X9:X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184D-B8FD-443B-BD1A-79EE107EE419}">
  <sheetPr>
    <tabColor rgb="FF00B050"/>
  </sheetPr>
  <dimension ref="B2:AB42"/>
  <sheetViews>
    <sheetView showGridLines="0" zoomScale="70" zoomScaleNormal="70" workbookViewId="0">
      <pane xSplit="7" ySplit="10" topLeftCell="H11" activePane="bottomRight" state="frozen"/>
      <selection pane="bottomRight" activeCell="B11" sqref="B11:B24"/>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20" width="15.28515625" customWidth="1"/>
    <col min="21" max="21" width="18.85546875" customWidth="1"/>
    <col min="22" max="23" width="17.7109375" bestFit="1" customWidth="1"/>
    <col min="24" max="24" width="23.28515625" bestFit="1" customWidth="1"/>
    <col min="25" max="25" width="19.85546875" customWidth="1"/>
    <col min="26" max="26" width="21" customWidth="1"/>
    <col min="27" max="27" width="15.7109375" bestFit="1" customWidth="1"/>
  </cols>
  <sheetData>
    <row r="2" spans="2:28" ht="18">
      <c r="B2" s="8" t="s">
        <v>0</v>
      </c>
    </row>
    <row r="3" spans="2:28">
      <c r="B3" s="7" t="s">
        <v>1</v>
      </c>
      <c r="D3" s="9" t="s">
        <v>2</v>
      </c>
      <c r="E3" s="6"/>
    </row>
    <row r="4" spans="2:28">
      <c r="B4" s="7" t="s">
        <v>3</v>
      </c>
      <c r="D4" s="10" t="s">
        <v>496</v>
      </c>
      <c r="E4" s="5"/>
    </row>
    <row r="5" spans="2:28">
      <c r="B5" s="7" t="s">
        <v>6</v>
      </c>
      <c r="D5" s="10" t="s">
        <v>7</v>
      </c>
      <c r="E5" s="5"/>
    </row>
    <row r="7" spans="2:28">
      <c r="X7" s="19"/>
    </row>
    <row r="8" spans="2:28">
      <c r="G8"/>
      <c r="H8"/>
      <c r="I8"/>
      <c r="J8"/>
      <c r="L8"/>
      <c r="N8"/>
    </row>
    <row r="9" spans="2:28"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551</v>
      </c>
      <c r="W9" s="37" t="s">
        <v>552</v>
      </c>
      <c r="X9" s="37" t="s">
        <v>25</v>
      </c>
      <c r="Y9" s="37" t="s">
        <v>550</v>
      </c>
      <c r="Z9" s="37" t="s">
        <v>27</v>
      </c>
    </row>
    <row r="10" spans="2:28"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c r="Z10" s="37"/>
    </row>
    <row r="11" spans="2:28" s="14" customFormat="1">
      <c r="B11" s="11">
        <v>1</v>
      </c>
      <c r="C11" s="12" t="s">
        <v>497</v>
      </c>
      <c r="D11" s="12" t="s">
        <v>498</v>
      </c>
      <c r="E11" s="12" t="s">
        <v>499</v>
      </c>
      <c r="F11" s="12" t="s">
        <v>500</v>
      </c>
      <c r="G11" s="11">
        <v>2023</v>
      </c>
      <c r="H11" s="16">
        <v>44968</v>
      </c>
      <c r="I11" s="16">
        <v>44996</v>
      </c>
      <c r="J11" s="11" t="s">
        <v>308</v>
      </c>
      <c r="K11" s="12" t="s">
        <v>308</v>
      </c>
      <c r="L11" s="16">
        <v>44978</v>
      </c>
      <c r="M11" s="12" t="s">
        <v>213</v>
      </c>
      <c r="N11" s="11" t="s">
        <v>42</v>
      </c>
      <c r="O11" s="25">
        <v>85327000</v>
      </c>
      <c r="P11" s="2">
        <v>100</v>
      </c>
      <c r="Q11" s="25">
        <v>85327000</v>
      </c>
      <c r="R11" s="25">
        <v>57793201.058735803</v>
      </c>
      <c r="S11" s="25">
        <v>10198799</v>
      </c>
      <c r="T11" s="25">
        <v>0</v>
      </c>
      <c r="U11" s="25">
        <v>17334999.941264197</v>
      </c>
      <c r="V11" s="18">
        <v>2039759</v>
      </c>
      <c r="W11" s="18">
        <v>0</v>
      </c>
      <c r="X11" s="13">
        <v>2411896914</v>
      </c>
      <c r="Y11" s="13">
        <f>X11*20%</f>
        <v>482379382.80000001</v>
      </c>
      <c r="Z11" s="13"/>
      <c r="AA11" s="31"/>
      <c r="AB11" s="30"/>
    </row>
    <row r="12" spans="2:28">
      <c r="B12" s="11">
        <v>2</v>
      </c>
      <c r="C12" s="1" t="s">
        <v>497</v>
      </c>
      <c r="D12" s="1" t="s">
        <v>498</v>
      </c>
      <c r="E12" s="1" t="s">
        <v>499</v>
      </c>
      <c r="F12" s="12" t="s">
        <v>500</v>
      </c>
      <c r="G12" s="11">
        <v>2023</v>
      </c>
      <c r="H12" s="16">
        <v>44968</v>
      </c>
      <c r="I12" s="16">
        <v>44996</v>
      </c>
      <c r="J12" s="11" t="s">
        <v>308</v>
      </c>
      <c r="K12" s="12" t="s">
        <v>308</v>
      </c>
      <c r="L12" s="16">
        <v>44978</v>
      </c>
      <c r="M12" s="12" t="s">
        <v>213</v>
      </c>
      <c r="N12" s="11" t="s">
        <v>42</v>
      </c>
      <c r="O12" s="25">
        <v>85327000</v>
      </c>
      <c r="P12" s="2">
        <v>100</v>
      </c>
      <c r="Q12" s="25">
        <v>85327000</v>
      </c>
      <c r="R12" s="25">
        <v>57793201.058735803</v>
      </c>
      <c r="S12" s="25">
        <v>0</v>
      </c>
      <c r="T12" s="25">
        <v>17334998</v>
      </c>
      <c r="U12" s="25">
        <v>10198800.941264197</v>
      </c>
      <c r="V12" s="13">
        <v>0</v>
      </c>
      <c r="W12" s="18">
        <v>3467000</v>
      </c>
      <c r="X12" s="13">
        <v>2411896914</v>
      </c>
      <c r="Y12" s="13">
        <f t="shared" ref="Y12:Y19" si="0">X12*20%</f>
        <v>482379382.80000001</v>
      </c>
      <c r="Z12" s="26"/>
      <c r="AA12" s="31"/>
      <c r="AB12" s="30"/>
    </row>
    <row r="13" spans="2:28">
      <c r="B13" s="11">
        <v>3</v>
      </c>
      <c r="C13" s="1" t="s">
        <v>501</v>
      </c>
      <c r="D13" s="1" t="s">
        <v>502</v>
      </c>
      <c r="E13" s="1" t="s">
        <v>503</v>
      </c>
      <c r="F13" s="12" t="s">
        <v>500</v>
      </c>
      <c r="G13" s="11">
        <v>2023</v>
      </c>
      <c r="H13" s="16">
        <v>45063</v>
      </c>
      <c r="I13" s="16">
        <v>45122</v>
      </c>
      <c r="J13" s="11" t="s">
        <v>308</v>
      </c>
      <c r="K13" s="12" t="s">
        <v>308</v>
      </c>
      <c r="L13" s="16">
        <v>45076</v>
      </c>
      <c r="M13" s="12" t="s">
        <v>213</v>
      </c>
      <c r="N13" s="11" t="s">
        <v>42</v>
      </c>
      <c r="O13" s="25">
        <v>42682830</v>
      </c>
      <c r="P13" s="2">
        <v>100</v>
      </c>
      <c r="Q13" s="25">
        <v>42682830</v>
      </c>
      <c r="R13" s="25">
        <v>36280405.5</v>
      </c>
      <c r="S13" s="25">
        <v>6402424</v>
      </c>
      <c r="T13" s="25">
        <v>0</v>
      </c>
      <c r="U13" s="25">
        <v>0.5</v>
      </c>
      <c r="V13" s="13">
        <v>1280485</v>
      </c>
      <c r="W13" s="18">
        <v>0</v>
      </c>
      <c r="X13" s="13">
        <v>0</v>
      </c>
      <c r="Y13" s="13">
        <f t="shared" si="0"/>
        <v>0</v>
      </c>
      <c r="Z13" s="26"/>
      <c r="AA13" s="31"/>
      <c r="AB13" s="30"/>
    </row>
    <row r="14" spans="2:28">
      <c r="B14" s="11">
        <v>4</v>
      </c>
      <c r="C14" s="1" t="s">
        <v>504</v>
      </c>
      <c r="D14" s="1" t="s">
        <v>505</v>
      </c>
      <c r="E14" s="1" t="s">
        <v>506</v>
      </c>
      <c r="F14" s="12" t="s">
        <v>500</v>
      </c>
      <c r="G14" s="11">
        <v>2023</v>
      </c>
      <c r="H14" s="16">
        <v>45128</v>
      </c>
      <c r="I14" s="16">
        <v>45218</v>
      </c>
      <c r="J14" s="11" t="s">
        <v>308</v>
      </c>
      <c r="K14" s="12" t="s">
        <v>308</v>
      </c>
      <c r="L14" s="16">
        <v>45154</v>
      </c>
      <c r="M14" s="12" t="s">
        <v>41</v>
      </c>
      <c r="N14" s="11" t="s">
        <v>60</v>
      </c>
      <c r="O14" s="25">
        <v>-1259.8499999999999</v>
      </c>
      <c r="P14" s="2">
        <v>15</v>
      </c>
      <c r="Q14" s="25">
        <v>-188.97749999999999</v>
      </c>
      <c r="R14" s="25">
        <v>-571.13</v>
      </c>
      <c r="S14" s="25">
        <v>-100.8</v>
      </c>
      <c r="T14" s="25">
        <v>0</v>
      </c>
      <c r="U14" s="25">
        <v>-587.91999999999996</v>
      </c>
      <c r="V14" s="13">
        <v>-20.16</v>
      </c>
      <c r="W14" s="18">
        <v>0</v>
      </c>
      <c r="X14" s="13">
        <v>0</v>
      </c>
      <c r="Y14" s="13">
        <f t="shared" si="0"/>
        <v>0</v>
      </c>
      <c r="Z14" s="26"/>
      <c r="AA14" s="31"/>
      <c r="AB14" s="30"/>
    </row>
    <row r="15" spans="2:28">
      <c r="B15" s="11">
        <v>5</v>
      </c>
      <c r="C15" s="1" t="s">
        <v>507</v>
      </c>
      <c r="D15" s="1" t="s">
        <v>508</v>
      </c>
      <c r="E15" s="1" t="s">
        <v>509</v>
      </c>
      <c r="F15" s="12" t="s">
        <v>500</v>
      </c>
      <c r="G15" s="11">
        <v>2023</v>
      </c>
      <c r="H15" s="16">
        <v>45171</v>
      </c>
      <c r="I15" s="16">
        <v>45201</v>
      </c>
      <c r="J15" s="11" t="s">
        <v>308</v>
      </c>
      <c r="K15" s="12" t="s">
        <v>308</v>
      </c>
      <c r="L15" s="16">
        <v>45184</v>
      </c>
      <c r="M15" s="12" t="s">
        <v>41</v>
      </c>
      <c r="N15" s="11" t="s">
        <v>42</v>
      </c>
      <c r="O15" s="25">
        <v>80502644.989999995</v>
      </c>
      <c r="P15" s="2">
        <v>12.5</v>
      </c>
      <c r="Q15" s="25">
        <v>10062830.623749999</v>
      </c>
      <c r="R15" s="25">
        <v>68427248.241500005</v>
      </c>
      <c r="S15" s="25">
        <v>12075397</v>
      </c>
      <c r="T15" s="25">
        <v>0</v>
      </c>
      <c r="U15" s="25">
        <v>-0.25150001049041748</v>
      </c>
      <c r="V15" s="18">
        <v>2415079</v>
      </c>
      <c r="W15" s="18">
        <v>0</v>
      </c>
      <c r="X15" s="13">
        <v>0</v>
      </c>
      <c r="Y15" s="13">
        <f t="shared" si="0"/>
        <v>0</v>
      </c>
      <c r="Z15" s="26"/>
      <c r="AA15" s="31"/>
      <c r="AB15" s="30"/>
    </row>
    <row r="16" spans="2:28">
      <c r="B16" s="11">
        <v>6</v>
      </c>
      <c r="C16" s="1" t="s">
        <v>510</v>
      </c>
      <c r="D16" s="1" t="s">
        <v>511</v>
      </c>
      <c r="E16" s="1" t="s">
        <v>512</v>
      </c>
      <c r="F16" s="12" t="s">
        <v>500</v>
      </c>
      <c r="G16" s="11">
        <v>2023</v>
      </c>
      <c r="H16" s="16">
        <v>45171</v>
      </c>
      <c r="I16" s="16">
        <v>45201</v>
      </c>
      <c r="J16" s="11" t="s">
        <v>308</v>
      </c>
      <c r="K16" s="12" t="s">
        <v>308</v>
      </c>
      <c r="L16" s="16">
        <v>45184</v>
      </c>
      <c r="M16" s="12" t="s">
        <v>41</v>
      </c>
      <c r="N16" s="11" t="s">
        <v>42</v>
      </c>
      <c r="O16" s="25">
        <v>200558049.52500001</v>
      </c>
      <c r="P16" s="2">
        <v>12.5</v>
      </c>
      <c r="Q16" s="25">
        <v>25069756.190625001</v>
      </c>
      <c r="R16" s="25">
        <v>170474342.09625</v>
      </c>
      <c r="S16" s="25">
        <v>30083707</v>
      </c>
      <c r="T16" s="25">
        <v>0</v>
      </c>
      <c r="U16" s="25">
        <v>0.42875000834465027</v>
      </c>
      <c r="V16" s="13">
        <v>6016741</v>
      </c>
      <c r="W16" s="18">
        <v>0</v>
      </c>
      <c r="X16" s="13">
        <v>0</v>
      </c>
      <c r="Y16" s="13">
        <f t="shared" si="0"/>
        <v>0</v>
      </c>
      <c r="Z16" s="26"/>
      <c r="AA16" s="31"/>
      <c r="AB16" s="30"/>
    </row>
    <row r="17" spans="2:28">
      <c r="B17" s="11">
        <v>7</v>
      </c>
      <c r="C17" s="1" t="s">
        <v>513</v>
      </c>
      <c r="D17" s="1" t="s">
        <v>514</v>
      </c>
      <c r="E17" s="1" t="s">
        <v>515</v>
      </c>
      <c r="F17" s="12" t="s">
        <v>500</v>
      </c>
      <c r="G17" s="11">
        <v>2023</v>
      </c>
      <c r="H17" s="16">
        <v>45364</v>
      </c>
      <c r="I17" s="16">
        <v>45454</v>
      </c>
      <c r="J17" s="11" t="s">
        <v>308</v>
      </c>
      <c r="K17" s="12" t="s">
        <v>308</v>
      </c>
      <c r="L17" s="16">
        <v>45379</v>
      </c>
      <c r="M17" s="12" t="s">
        <v>41</v>
      </c>
      <c r="N17" s="11" t="s">
        <v>42</v>
      </c>
      <c r="O17" s="25">
        <v>414375</v>
      </c>
      <c r="P17" s="2">
        <v>12.5</v>
      </c>
      <c r="Q17" s="25">
        <v>51796.875</v>
      </c>
      <c r="R17" s="25">
        <v>352218.75</v>
      </c>
      <c r="S17" s="25">
        <v>62156</v>
      </c>
      <c r="T17" s="25">
        <v>0</v>
      </c>
      <c r="U17" s="25">
        <v>0.25</v>
      </c>
      <c r="V17" s="13">
        <v>12431</v>
      </c>
      <c r="W17" s="18">
        <v>0</v>
      </c>
      <c r="X17" s="13">
        <v>0</v>
      </c>
      <c r="Y17" s="13">
        <f t="shared" si="0"/>
        <v>0</v>
      </c>
      <c r="Z17" s="13"/>
      <c r="AA17" s="31"/>
      <c r="AB17" s="30"/>
    </row>
    <row r="18" spans="2:28">
      <c r="B18" s="11">
        <v>8</v>
      </c>
      <c r="C18" s="1" t="s">
        <v>516</v>
      </c>
      <c r="D18" s="1" t="s">
        <v>514</v>
      </c>
      <c r="E18" s="1" t="s">
        <v>515</v>
      </c>
      <c r="F18" s="12" t="s">
        <v>500</v>
      </c>
      <c r="G18" s="11">
        <v>2023</v>
      </c>
      <c r="H18" s="16">
        <v>45364</v>
      </c>
      <c r="I18" s="16">
        <v>45454</v>
      </c>
      <c r="J18" s="11" t="s">
        <v>308</v>
      </c>
      <c r="K18" s="12" t="s">
        <v>308</v>
      </c>
      <c r="L18" s="16">
        <v>45379</v>
      </c>
      <c r="M18" s="12" t="s">
        <v>41</v>
      </c>
      <c r="N18" s="11" t="s">
        <v>42</v>
      </c>
      <c r="O18" s="25">
        <v>545593.75</v>
      </c>
      <c r="P18" s="2">
        <v>12.5</v>
      </c>
      <c r="Q18" s="25">
        <v>68199.21875</v>
      </c>
      <c r="R18" s="25">
        <v>463754.6875</v>
      </c>
      <c r="S18" s="25">
        <v>81840</v>
      </c>
      <c r="T18" s="25">
        <v>0</v>
      </c>
      <c r="U18" s="25">
        <v>-0.9375</v>
      </c>
      <c r="V18" s="18">
        <v>16368</v>
      </c>
      <c r="W18" s="18">
        <v>0</v>
      </c>
      <c r="X18" s="13">
        <v>0</v>
      </c>
      <c r="Y18" s="13">
        <f t="shared" si="0"/>
        <v>0</v>
      </c>
      <c r="Z18" s="13"/>
      <c r="AA18" s="31"/>
      <c r="AB18" s="30"/>
    </row>
    <row r="19" spans="2:28">
      <c r="B19" s="11">
        <v>9</v>
      </c>
      <c r="C19" s="1" t="s">
        <v>517</v>
      </c>
      <c r="D19" s="1" t="s">
        <v>518</v>
      </c>
      <c r="E19" s="1" t="s">
        <v>519</v>
      </c>
      <c r="F19" s="12" t="s">
        <v>500</v>
      </c>
      <c r="G19" s="11">
        <v>2023</v>
      </c>
      <c r="H19" s="16">
        <v>45213</v>
      </c>
      <c r="I19" s="16">
        <v>45244</v>
      </c>
      <c r="J19" s="11" t="s">
        <v>308</v>
      </c>
      <c r="K19" s="12" t="s">
        <v>308</v>
      </c>
      <c r="L19" s="16">
        <v>45243</v>
      </c>
      <c r="M19" s="12" t="s">
        <v>41</v>
      </c>
      <c r="N19" s="11" t="s">
        <v>42</v>
      </c>
      <c r="O19" s="25">
        <v>-297187.5</v>
      </c>
      <c r="P19" s="2">
        <v>12.5</v>
      </c>
      <c r="Q19" s="25">
        <v>-37148.4375</v>
      </c>
      <c r="R19" s="25">
        <v>-252609.375</v>
      </c>
      <c r="S19" s="25">
        <v>-44579</v>
      </c>
      <c r="T19" s="25">
        <v>0</v>
      </c>
      <c r="U19" s="25">
        <v>0.875</v>
      </c>
      <c r="V19" s="18">
        <v>-8916</v>
      </c>
      <c r="W19" s="18">
        <v>0</v>
      </c>
      <c r="X19" s="13">
        <v>0</v>
      </c>
      <c r="Y19" s="13">
        <f t="shared" si="0"/>
        <v>0</v>
      </c>
      <c r="Z19" s="13"/>
      <c r="AA19" s="31"/>
      <c r="AB19" s="30"/>
    </row>
    <row r="20" spans="2:28">
      <c r="B20" s="11">
        <v>10</v>
      </c>
      <c r="C20" s="1" t="s">
        <v>520</v>
      </c>
      <c r="D20" s="1" t="s">
        <v>521</v>
      </c>
      <c r="E20" s="1" t="s">
        <v>522</v>
      </c>
      <c r="F20" s="12" t="s">
        <v>500</v>
      </c>
      <c r="G20" s="11">
        <v>2024</v>
      </c>
      <c r="H20" s="16">
        <v>45359</v>
      </c>
      <c r="I20" s="16">
        <v>45449</v>
      </c>
      <c r="J20" s="11" t="s">
        <v>308</v>
      </c>
      <c r="K20" s="12" t="s">
        <v>308</v>
      </c>
      <c r="L20" s="16">
        <v>45394</v>
      </c>
      <c r="M20" s="12" t="s">
        <v>41</v>
      </c>
      <c r="N20" s="11" t="s">
        <v>42</v>
      </c>
      <c r="O20" s="25">
        <v>25615319</v>
      </c>
      <c r="P20" s="2">
        <v>25</v>
      </c>
      <c r="Q20" s="25">
        <v>6403829.75</v>
      </c>
      <c r="R20" s="25">
        <v>21773021.149999999</v>
      </c>
      <c r="S20" s="25">
        <v>3842298</v>
      </c>
      <c r="T20" s="25">
        <v>0</v>
      </c>
      <c r="U20" s="25">
        <v>-0.14999999850988388</v>
      </c>
      <c r="V20" s="18">
        <v>192115</v>
      </c>
      <c r="W20" s="18">
        <v>0</v>
      </c>
      <c r="X20" s="13">
        <v>0</v>
      </c>
      <c r="Y20" s="13">
        <f>X20*5%</f>
        <v>0</v>
      </c>
      <c r="Z20" s="13"/>
      <c r="AA20" s="31"/>
      <c r="AB20" s="30"/>
    </row>
    <row r="21" spans="2:28">
      <c r="B21" s="11">
        <v>11</v>
      </c>
      <c r="C21" s="1" t="s">
        <v>523</v>
      </c>
      <c r="D21" s="1" t="s">
        <v>524</v>
      </c>
      <c r="E21" s="1" t="s">
        <v>525</v>
      </c>
      <c r="F21" s="12" t="s">
        <v>500</v>
      </c>
      <c r="G21" s="11">
        <v>2024</v>
      </c>
      <c r="H21" s="16">
        <v>45626</v>
      </c>
      <c r="I21" s="16">
        <v>45991</v>
      </c>
      <c r="J21" s="11" t="s">
        <v>308</v>
      </c>
      <c r="K21" s="12" t="s">
        <v>308</v>
      </c>
      <c r="L21" s="16">
        <v>45716</v>
      </c>
      <c r="M21" s="12" t="s">
        <v>41</v>
      </c>
      <c r="N21" s="11" t="s">
        <v>42</v>
      </c>
      <c r="O21" s="25">
        <v>379522.3</v>
      </c>
      <c r="P21" s="2">
        <v>5</v>
      </c>
      <c r="Q21" s="25">
        <v>18976.115000000002</v>
      </c>
      <c r="R21" s="25">
        <v>322593.95500000002</v>
      </c>
      <c r="S21" s="25">
        <v>56929</v>
      </c>
      <c r="T21" s="25">
        <v>0</v>
      </c>
      <c r="U21" s="25">
        <v>-0.65500000002793968</v>
      </c>
      <c r="V21" s="13">
        <v>2846</v>
      </c>
      <c r="W21" s="18">
        <v>0</v>
      </c>
      <c r="X21" s="13">
        <v>0</v>
      </c>
      <c r="Y21" s="13">
        <f t="shared" ref="Y21:Y24" si="1">X21*5%</f>
        <v>0</v>
      </c>
      <c r="Z21" s="13"/>
      <c r="AA21" s="31"/>
      <c r="AB21" s="30"/>
    </row>
    <row r="22" spans="2:28">
      <c r="B22" s="11">
        <v>12</v>
      </c>
      <c r="C22" s="1" t="s">
        <v>526</v>
      </c>
      <c r="D22" s="1" t="s">
        <v>527</v>
      </c>
      <c r="E22" s="1" t="s">
        <v>528</v>
      </c>
      <c r="F22" s="12" t="s">
        <v>500</v>
      </c>
      <c r="G22" s="11">
        <v>2024</v>
      </c>
      <c r="H22" s="16">
        <v>45485</v>
      </c>
      <c r="I22" s="16">
        <v>45545</v>
      </c>
      <c r="J22" s="11" t="s">
        <v>308</v>
      </c>
      <c r="K22" s="12" t="s">
        <v>308</v>
      </c>
      <c r="L22" s="16">
        <v>45526</v>
      </c>
      <c r="M22" s="12" t="s">
        <v>41</v>
      </c>
      <c r="N22" s="11" t="s">
        <v>60</v>
      </c>
      <c r="O22" s="25">
        <v>420.31</v>
      </c>
      <c r="P22" s="2">
        <v>12.5</v>
      </c>
      <c r="Q22" s="25">
        <v>52.53875</v>
      </c>
      <c r="R22" s="25">
        <v>357.26</v>
      </c>
      <c r="S22" s="25">
        <v>63.04</v>
      </c>
      <c r="T22" s="25">
        <v>0</v>
      </c>
      <c r="U22" s="25">
        <v>1.0000000000012221E-2</v>
      </c>
      <c r="V22" s="18">
        <v>3.15</v>
      </c>
      <c r="W22" s="18">
        <v>0</v>
      </c>
      <c r="X22" s="13">
        <v>0</v>
      </c>
      <c r="Y22" s="13">
        <f t="shared" si="1"/>
        <v>0</v>
      </c>
      <c r="Z22" s="13"/>
      <c r="AA22" s="31"/>
      <c r="AB22" s="30"/>
    </row>
    <row r="23" spans="2:28">
      <c r="B23" s="11">
        <v>13</v>
      </c>
      <c r="C23" s="1" t="s">
        <v>529</v>
      </c>
      <c r="D23" s="1" t="s">
        <v>530</v>
      </c>
      <c r="E23" s="1" t="s">
        <v>531</v>
      </c>
      <c r="F23" s="12" t="s">
        <v>500</v>
      </c>
      <c r="G23" s="11">
        <v>2024</v>
      </c>
      <c r="H23" s="16">
        <v>45387</v>
      </c>
      <c r="I23" s="16">
        <v>45417</v>
      </c>
      <c r="J23" s="11" t="s">
        <v>308</v>
      </c>
      <c r="K23" s="12" t="s">
        <v>308</v>
      </c>
      <c r="L23" s="16">
        <v>45406</v>
      </c>
      <c r="M23" s="12" t="s">
        <v>41</v>
      </c>
      <c r="N23" s="11" t="s">
        <v>42</v>
      </c>
      <c r="O23" s="25">
        <v>2362092</v>
      </c>
      <c r="P23" s="2">
        <v>5</v>
      </c>
      <c r="Q23" s="25">
        <v>118104.6</v>
      </c>
      <c r="R23" s="25">
        <v>2007778.2</v>
      </c>
      <c r="S23" s="25">
        <v>354314</v>
      </c>
      <c r="T23" s="25">
        <v>0</v>
      </c>
      <c r="U23" s="25">
        <v>-0.19999999995343387</v>
      </c>
      <c r="V23" s="13">
        <v>17716</v>
      </c>
      <c r="W23" s="18">
        <v>0</v>
      </c>
      <c r="X23" s="13">
        <v>0</v>
      </c>
      <c r="Y23" s="13">
        <f t="shared" si="1"/>
        <v>0</v>
      </c>
      <c r="Z23" s="13"/>
      <c r="AA23" s="31"/>
      <c r="AB23" s="30"/>
    </row>
    <row r="24" spans="2:28">
      <c r="B24" s="11">
        <v>14</v>
      </c>
      <c r="C24" s="1" t="s">
        <v>532</v>
      </c>
      <c r="D24" s="1" t="s">
        <v>533</v>
      </c>
      <c r="E24" s="1" t="s">
        <v>534</v>
      </c>
      <c r="F24" s="12" t="s">
        <v>500</v>
      </c>
      <c r="G24" s="11">
        <v>2024</v>
      </c>
      <c r="H24" s="16">
        <v>45494</v>
      </c>
      <c r="I24" s="16">
        <v>45554</v>
      </c>
      <c r="J24" s="11" t="s">
        <v>308</v>
      </c>
      <c r="K24" s="12" t="s">
        <v>308</v>
      </c>
      <c r="L24" s="16">
        <v>45505</v>
      </c>
      <c r="M24" s="12" t="s">
        <v>41</v>
      </c>
      <c r="N24" s="11" t="s">
        <v>42</v>
      </c>
      <c r="O24" s="25">
        <v>411027538.80616498</v>
      </c>
      <c r="P24" s="2">
        <v>5</v>
      </c>
      <c r="Q24" s="25">
        <v>20551376.94030825</v>
      </c>
      <c r="R24" s="25">
        <v>349373407.98523998</v>
      </c>
      <c r="S24" s="25">
        <v>61654132</v>
      </c>
      <c r="T24" s="25">
        <v>0</v>
      </c>
      <c r="U24" s="25">
        <v>-1.1790750026702881</v>
      </c>
      <c r="V24" s="13">
        <v>3082707</v>
      </c>
      <c r="W24" s="18">
        <v>0</v>
      </c>
      <c r="X24" s="13">
        <v>0</v>
      </c>
      <c r="Y24" s="13">
        <f t="shared" si="1"/>
        <v>0</v>
      </c>
      <c r="Z24" s="12"/>
      <c r="AA24" s="31"/>
      <c r="AB24" s="30"/>
    </row>
    <row r="25" spans="2:28">
      <c r="B25" s="20"/>
      <c r="F25" s="14"/>
      <c r="O25" s="21"/>
      <c r="Q25" s="22"/>
      <c r="R25" s="22"/>
      <c r="S25" s="22"/>
      <c r="T25" s="22"/>
      <c r="U25" s="23"/>
      <c r="V25" s="24"/>
      <c r="W25" s="24"/>
    </row>
    <row r="26" spans="2:28">
      <c r="V26" s="17">
        <f>SUBTOTAL(9,V11:V24)</f>
        <v>15067313.99</v>
      </c>
      <c r="W26" s="17">
        <f>SUBTOTAL(9,W11:W24)</f>
        <v>3467000</v>
      </c>
      <c r="X26" s="19"/>
    </row>
    <row r="27" spans="2:28">
      <c r="V27" s="19"/>
      <c r="W27" s="19"/>
    </row>
    <row r="36" spans="12:14">
      <c r="L36"/>
      <c r="N36"/>
    </row>
    <row r="37" spans="12:14">
      <c r="L37"/>
      <c r="N37"/>
    </row>
    <row r="38" spans="12:14">
      <c r="L38"/>
      <c r="N38"/>
    </row>
    <row r="39" spans="12:14">
      <c r="L39"/>
      <c r="N39"/>
    </row>
    <row r="40" spans="12:14">
      <c r="L40"/>
      <c r="N40"/>
    </row>
    <row r="41" spans="12:14">
      <c r="L41"/>
      <c r="N41"/>
    </row>
    <row r="42" spans="12:14">
      <c r="L42"/>
      <c r="N42"/>
    </row>
  </sheetData>
  <autoFilter ref="B10:Z24" xr:uid="{00000000-0001-0000-0100-000000000000}"/>
  <mergeCells count="20">
    <mergeCell ref="N9:N10"/>
    <mergeCell ref="B9:B10"/>
    <mergeCell ref="C9:C10"/>
    <mergeCell ref="D9:D10"/>
    <mergeCell ref="E9:E10"/>
    <mergeCell ref="F9:F10"/>
    <mergeCell ref="G9:G10"/>
    <mergeCell ref="H9:I9"/>
    <mergeCell ref="J9:J10"/>
    <mergeCell ref="K9:K10"/>
    <mergeCell ref="L9:L10"/>
    <mergeCell ref="M9:M10"/>
    <mergeCell ref="Y9:Y10"/>
    <mergeCell ref="Z9:Z10"/>
    <mergeCell ref="O9:O10"/>
    <mergeCell ref="P9:Q9"/>
    <mergeCell ref="R9:U9"/>
    <mergeCell ref="V9:V10"/>
    <mergeCell ref="W9:W10"/>
    <mergeCell ref="X9:X1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CB11-5C96-4AFC-A7CE-0CCAE4437017}">
  <sheetPr>
    <tabColor rgb="FF00B050"/>
  </sheetPr>
  <dimension ref="B2:AA36"/>
  <sheetViews>
    <sheetView showGridLines="0" zoomScale="77" zoomScaleNormal="77" workbookViewId="0">
      <pane xSplit="7" ySplit="10" topLeftCell="H11" activePane="bottomRight" state="frozen"/>
      <selection pane="bottomRight" activeCell="B11" sqref="B11:B18"/>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11.140625" bestFit="1" customWidth="1"/>
    <col min="20" max="20" width="17.7109375" bestFit="1" customWidth="1"/>
    <col min="21" max="21" width="18.85546875" bestFit="1" customWidth="1"/>
    <col min="22" max="22" width="18.85546875" customWidth="1"/>
    <col min="23" max="23" width="17.7109375" bestFit="1" customWidth="1"/>
    <col min="24" max="24" width="23.28515625" bestFit="1" customWidth="1"/>
    <col min="25" max="25" width="19.85546875" customWidth="1"/>
    <col min="26" max="26" width="21" customWidth="1"/>
  </cols>
  <sheetData>
    <row r="2" spans="2:27" ht="18">
      <c r="B2" s="8" t="s">
        <v>0</v>
      </c>
    </row>
    <row r="3" spans="2:27">
      <c r="B3" s="7" t="s">
        <v>1</v>
      </c>
      <c r="D3" s="9" t="s">
        <v>2</v>
      </c>
      <c r="E3" s="6"/>
    </row>
    <row r="4" spans="2:27">
      <c r="B4" s="7" t="s">
        <v>3</v>
      </c>
      <c r="D4" s="10" t="s">
        <v>553</v>
      </c>
      <c r="E4" s="5"/>
    </row>
    <row r="5" spans="2:27">
      <c r="B5" s="7" t="s">
        <v>6</v>
      </c>
      <c r="D5" s="10" t="s">
        <v>7</v>
      </c>
      <c r="E5" s="5"/>
    </row>
    <row r="7" spans="2:27">
      <c r="X7" s="19"/>
    </row>
    <row r="8" spans="2:27">
      <c r="G8"/>
      <c r="H8"/>
      <c r="I8"/>
      <c r="J8"/>
      <c r="L8"/>
      <c r="N8"/>
    </row>
    <row r="9" spans="2:27" s="3" customFormat="1" ht="15" customHeight="1">
      <c r="B9" s="37" t="s">
        <v>8</v>
      </c>
      <c r="C9" s="37" t="s">
        <v>9</v>
      </c>
      <c r="D9" s="37" t="s">
        <v>10</v>
      </c>
      <c r="E9" s="38" t="s">
        <v>11</v>
      </c>
      <c r="F9" s="37" t="s">
        <v>12</v>
      </c>
      <c r="G9" s="37" t="s">
        <v>13</v>
      </c>
      <c r="H9" s="37" t="s">
        <v>14</v>
      </c>
      <c r="I9" s="37"/>
      <c r="J9" s="37" t="s">
        <v>15</v>
      </c>
      <c r="K9" s="37" t="s">
        <v>16</v>
      </c>
      <c r="L9" s="37" t="s">
        <v>17</v>
      </c>
      <c r="M9" s="37" t="s">
        <v>18</v>
      </c>
      <c r="N9" s="37" t="s">
        <v>19</v>
      </c>
      <c r="O9" s="37" t="s">
        <v>20</v>
      </c>
      <c r="P9" s="40" t="s">
        <v>21</v>
      </c>
      <c r="Q9" s="41"/>
      <c r="R9" s="37" t="s">
        <v>22</v>
      </c>
      <c r="S9" s="37"/>
      <c r="T9" s="37"/>
      <c r="U9" s="37"/>
      <c r="V9" s="37" t="s">
        <v>551</v>
      </c>
      <c r="W9" s="37" t="s">
        <v>552</v>
      </c>
      <c r="X9" s="37" t="s">
        <v>25</v>
      </c>
      <c r="Y9" s="37" t="s">
        <v>550</v>
      </c>
      <c r="Z9" s="37" t="s">
        <v>27</v>
      </c>
    </row>
    <row r="10" spans="2:27" s="3" customFormat="1" ht="26.25" customHeight="1">
      <c r="B10" s="37"/>
      <c r="C10" s="37"/>
      <c r="D10" s="37"/>
      <c r="E10" s="39"/>
      <c r="F10" s="37"/>
      <c r="G10" s="37"/>
      <c r="H10" s="4" t="s">
        <v>28</v>
      </c>
      <c r="I10" s="4" t="s">
        <v>29</v>
      </c>
      <c r="J10" s="37"/>
      <c r="K10" s="37"/>
      <c r="L10" s="37"/>
      <c r="M10" s="37"/>
      <c r="N10" s="37"/>
      <c r="O10" s="37"/>
      <c r="P10" s="4" t="s">
        <v>30</v>
      </c>
      <c r="Q10" s="4" t="s">
        <v>31</v>
      </c>
      <c r="R10" s="4" t="s">
        <v>32</v>
      </c>
      <c r="S10" s="4" t="s">
        <v>33</v>
      </c>
      <c r="T10" s="4" t="s">
        <v>34</v>
      </c>
      <c r="U10" s="4" t="s">
        <v>35</v>
      </c>
      <c r="V10" s="37"/>
      <c r="W10" s="37"/>
      <c r="X10" s="37"/>
      <c r="Y10" s="37"/>
      <c r="Z10" s="37"/>
    </row>
    <row r="11" spans="2:27" s="14" customFormat="1">
      <c r="B11" s="11">
        <v>1</v>
      </c>
      <c r="C11" s="12" t="s">
        <v>554</v>
      </c>
      <c r="D11" s="12" t="s">
        <v>555</v>
      </c>
      <c r="E11" s="12" t="s">
        <v>556</v>
      </c>
      <c r="F11" s="12" t="s">
        <v>543</v>
      </c>
      <c r="G11" s="11">
        <v>2023</v>
      </c>
      <c r="H11" s="16">
        <v>45088</v>
      </c>
      <c r="I11" s="16">
        <v>45089</v>
      </c>
      <c r="J11" s="11" t="s">
        <v>308</v>
      </c>
      <c r="K11" s="12" t="s">
        <v>308</v>
      </c>
      <c r="L11" s="16">
        <v>45088</v>
      </c>
      <c r="M11" s="12" t="s">
        <v>221</v>
      </c>
      <c r="N11" s="11" t="s">
        <v>42</v>
      </c>
      <c r="O11" s="25">
        <v>2475000</v>
      </c>
      <c r="P11" s="2">
        <v>25</v>
      </c>
      <c r="Q11" s="25">
        <v>618750</v>
      </c>
      <c r="R11" s="25">
        <v>1980000</v>
      </c>
      <c r="S11" s="25">
        <v>495000</v>
      </c>
      <c r="T11" s="25">
        <v>0</v>
      </c>
      <c r="U11" s="25">
        <v>0</v>
      </c>
      <c r="V11" s="25">
        <v>99000</v>
      </c>
      <c r="W11" s="18">
        <v>0</v>
      </c>
      <c r="X11" s="13">
        <v>0</v>
      </c>
      <c r="Y11" s="13">
        <f>X11*20%</f>
        <v>0</v>
      </c>
      <c r="Z11" s="13"/>
      <c r="AA11" s="27"/>
    </row>
    <row r="12" spans="2:27" s="14" customFormat="1">
      <c r="B12" s="11">
        <v>2</v>
      </c>
      <c r="C12" s="12" t="s">
        <v>557</v>
      </c>
      <c r="D12" s="12" t="s">
        <v>555</v>
      </c>
      <c r="E12" s="12" t="s">
        <v>556</v>
      </c>
      <c r="F12" s="12" t="s">
        <v>543</v>
      </c>
      <c r="G12" s="11">
        <v>2023</v>
      </c>
      <c r="H12" s="16">
        <v>45094</v>
      </c>
      <c r="I12" s="16">
        <v>45095</v>
      </c>
      <c r="J12" s="11" t="s">
        <v>308</v>
      </c>
      <c r="K12" s="12" t="s">
        <v>308</v>
      </c>
      <c r="L12" s="16">
        <v>45094</v>
      </c>
      <c r="M12" s="12" t="s">
        <v>221</v>
      </c>
      <c r="N12" s="11" t="s">
        <v>42</v>
      </c>
      <c r="O12" s="25">
        <v>1250000</v>
      </c>
      <c r="P12" s="2">
        <v>25</v>
      </c>
      <c r="Q12" s="25">
        <v>312500</v>
      </c>
      <c r="R12" s="25">
        <v>1000000</v>
      </c>
      <c r="S12" s="25">
        <v>250000</v>
      </c>
      <c r="T12" s="25">
        <v>0</v>
      </c>
      <c r="U12" s="25">
        <v>0</v>
      </c>
      <c r="V12" s="25">
        <v>50000</v>
      </c>
      <c r="W12" s="18">
        <v>0</v>
      </c>
      <c r="X12" s="13">
        <v>0</v>
      </c>
      <c r="Y12" s="13">
        <f t="shared" ref="Y12:Y13" si="0">X12*20%</f>
        <v>0</v>
      </c>
      <c r="Z12" s="13"/>
      <c r="AA12" s="27"/>
    </row>
    <row r="13" spans="2:27" s="14" customFormat="1">
      <c r="B13" s="11">
        <v>3</v>
      </c>
      <c r="C13" s="12" t="s">
        <v>558</v>
      </c>
      <c r="D13" s="12" t="s">
        <v>559</v>
      </c>
      <c r="E13" s="12" t="s">
        <v>556</v>
      </c>
      <c r="F13" s="12" t="s">
        <v>543</v>
      </c>
      <c r="G13" s="11">
        <v>2023</v>
      </c>
      <c r="H13" s="16">
        <v>45110</v>
      </c>
      <c r="I13" s="16">
        <v>45111</v>
      </c>
      <c r="J13" s="11" t="s">
        <v>308</v>
      </c>
      <c r="K13" s="12" t="s">
        <v>308</v>
      </c>
      <c r="L13" s="16">
        <v>45110</v>
      </c>
      <c r="M13" s="12" t="s">
        <v>221</v>
      </c>
      <c r="N13" s="11" t="s">
        <v>42</v>
      </c>
      <c r="O13" s="25">
        <v>625000</v>
      </c>
      <c r="P13" s="2">
        <v>25</v>
      </c>
      <c r="Q13" s="25">
        <v>156250</v>
      </c>
      <c r="R13" s="25">
        <v>500000</v>
      </c>
      <c r="S13" s="25">
        <v>125000</v>
      </c>
      <c r="T13" s="25">
        <v>0</v>
      </c>
      <c r="U13" s="25">
        <v>0</v>
      </c>
      <c r="V13" s="25">
        <v>25000</v>
      </c>
      <c r="W13" s="18">
        <v>0</v>
      </c>
      <c r="X13" s="13">
        <v>0</v>
      </c>
      <c r="Y13" s="13">
        <f t="shared" si="0"/>
        <v>0</v>
      </c>
      <c r="Z13" s="13"/>
      <c r="AA13" s="27"/>
    </row>
    <row r="14" spans="2:27" s="14" customFormat="1">
      <c r="B14" s="11">
        <v>4</v>
      </c>
      <c r="C14" s="12" t="s">
        <v>540</v>
      </c>
      <c r="D14" s="12" t="s">
        <v>541</v>
      </c>
      <c r="E14" s="12" t="s">
        <v>542</v>
      </c>
      <c r="F14" s="12" t="s">
        <v>543</v>
      </c>
      <c r="G14" s="11">
        <v>2024</v>
      </c>
      <c r="H14" s="16">
        <v>45560</v>
      </c>
      <c r="I14" s="16">
        <v>45925</v>
      </c>
      <c r="J14" s="11" t="s">
        <v>308</v>
      </c>
      <c r="K14" s="12" t="s">
        <v>308</v>
      </c>
      <c r="L14" s="16">
        <v>45760</v>
      </c>
      <c r="M14" s="12" t="s">
        <v>41</v>
      </c>
      <c r="N14" s="11" t="s">
        <v>42</v>
      </c>
      <c r="O14" s="25">
        <v>108000</v>
      </c>
      <c r="P14" s="2">
        <v>10</v>
      </c>
      <c r="Q14" s="25">
        <v>10800</v>
      </c>
      <c r="R14" s="25">
        <v>64800</v>
      </c>
      <c r="S14" s="25">
        <v>6750</v>
      </c>
      <c r="T14" s="25">
        <v>0</v>
      </c>
      <c r="U14" s="25">
        <v>36450</v>
      </c>
      <c r="V14" s="25">
        <v>338</v>
      </c>
      <c r="W14" s="18">
        <v>0</v>
      </c>
      <c r="X14" s="13">
        <v>0</v>
      </c>
      <c r="Y14" s="13">
        <f>X14*5%</f>
        <v>0</v>
      </c>
      <c r="Z14" s="13"/>
      <c r="AA14" s="27"/>
    </row>
    <row r="15" spans="2:27" s="14" customFormat="1">
      <c r="B15" s="11">
        <v>5</v>
      </c>
      <c r="C15" s="12" t="s">
        <v>540</v>
      </c>
      <c r="D15" s="12" t="s">
        <v>541</v>
      </c>
      <c r="E15" s="12" t="s">
        <v>542</v>
      </c>
      <c r="F15" s="12" t="s">
        <v>543</v>
      </c>
      <c r="G15" s="11">
        <v>2024</v>
      </c>
      <c r="H15" s="16">
        <v>45560</v>
      </c>
      <c r="I15" s="16">
        <v>45925</v>
      </c>
      <c r="J15" s="11" t="s">
        <v>308</v>
      </c>
      <c r="K15" s="12" t="s">
        <v>308</v>
      </c>
      <c r="L15" s="16">
        <v>45760</v>
      </c>
      <c r="M15" s="12" t="s">
        <v>41</v>
      </c>
      <c r="N15" s="11" t="s">
        <v>42</v>
      </c>
      <c r="O15" s="25">
        <v>108000</v>
      </c>
      <c r="P15" s="2">
        <v>10</v>
      </c>
      <c r="Q15" s="25">
        <v>10800</v>
      </c>
      <c r="R15" s="25">
        <v>64800</v>
      </c>
      <c r="S15" s="25">
        <v>0</v>
      </c>
      <c r="T15" s="25">
        <v>11250</v>
      </c>
      <c r="U15" s="25">
        <v>31950</v>
      </c>
      <c r="V15" s="25">
        <v>0</v>
      </c>
      <c r="W15" s="18">
        <v>562</v>
      </c>
      <c r="X15" s="13">
        <v>0</v>
      </c>
      <c r="Y15" s="13">
        <f t="shared" ref="Y15:Y18" si="1">X15*5%</f>
        <v>0</v>
      </c>
      <c r="Z15" s="13"/>
      <c r="AA15" s="27"/>
    </row>
    <row r="16" spans="2:27" s="14" customFormat="1">
      <c r="B16" s="11">
        <v>6</v>
      </c>
      <c r="C16" s="12" t="s">
        <v>544</v>
      </c>
      <c r="D16" s="12" t="s">
        <v>541</v>
      </c>
      <c r="E16" s="12" t="s">
        <v>542</v>
      </c>
      <c r="F16" s="12" t="s">
        <v>543</v>
      </c>
      <c r="G16" s="11">
        <v>2024</v>
      </c>
      <c r="H16" s="16">
        <v>45560</v>
      </c>
      <c r="I16" s="16">
        <v>45925</v>
      </c>
      <c r="J16" s="11" t="s">
        <v>308</v>
      </c>
      <c r="K16" s="12" t="s">
        <v>308</v>
      </c>
      <c r="L16" s="16">
        <v>45746</v>
      </c>
      <c r="M16" s="12" t="s">
        <v>41</v>
      </c>
      <c r="N16" s="11" t="s">
        <v>42</v>
      </c>
      <c r="O16" s="25">
        <v>108000</v>
      </c>
      <c r="P16" s="2">
        <v>10</v>
      </c>
      <c r="Q16" s="25">
        <v>10800</v>
      </c>
      <c r="R16" s="25">
        <v>64800</v>
      </c>
      <c r="S16" s="25">
        <v>9450</v>
      </c>
      <c r="T16" s="25">
        <v>0</v>
      </c>
      <c r="U16" s="25">
        <v>33750</v>
      </c>
      <c r="V16" s="25">
        <v>472</v>
      </c>
      <c r="W16" s="18">
        <v>0</v>
      </c>
      <c r="X16" s="13">
        <v>0</v>
      </c>
      <c r="Y16" s="13">
        <f t="shared" si="1"/>
        <v>0</v>
      </c>
      <c r="Z16" s="13"/>
      <c r="AA16" s="27"/>
    </row>
    <row r="17" spans="2:27" s="14" customFormat="1">
      <c r="B17" s="11">
        <v>7</v>
      </c>
      <c r="C17" s="12" t="s">
        <v>544</v>
      </c>
      <c r="D17" s="12" t="s">
        <v>541</v>
      </c>
      <c r="E17" s="12" t="s">
        <v>542</v>
      </c>
      <c r="F17" s="12" t="s">
        <v>543</v>
      </c>
      <c r="G17" s="11">
        <v>2024</v>
      </c>
      <c r="H17" s="16">
        <v>45560</v>
      </c>
      <c r="I17" s="16">
        <v>45925</v>
      </c>
      <c r="J17" s="11" t="s">
        <v>308</v>
      </c>
      <c r="K17" s="12" t="s">
        <v>308</v>
      </c>
      <c r="L17" s="16">
        <v>45746</v>
      </c>
      <c r="M17" s="12" t="s">
        <v>41</v>
      </c>
      <c r="N17" s="11" t="s">
        <v>42</v>
      </c>
      <c r="O17" s="25">
        <v>108000</v>
      </c>
      <c r="P17" s="2">
        <v>10</v>
      </c>
      <c r="Q17" s="25">
        <v>10800</v>
      </c>
      <c r="R17" s="25">
        <v>64800</v>
      </c>
      <c r="S17" s="25">
        <v>0</v>
      </c>
      <c r="T17" s="25">
        <v>15750</v>
      </c>
      <c r="U17" s="25">
        <v>27450</v>
      </c>
      <c r="V17" s="25">
        <v>0</v>
      </c>
      <c r="W17" s="18">
        <v>788</v>
      </c>
      <c r="X17" s="13">
        <v>0</v>
      </c>
      <c r="Y17" s="13">
        <f t="shared" si="1"/>
        <v>0</v>
      </c>
      <c r="Z17" s="13"/>
      <c r="AA17" s="27"/>
    </row>
    <row r="18" spans="2:27" s="14" customFormat="1">
      <c r="B18" s="11">
        <v>8</v>
      </c>
      <c r="C18" s="12" t="s">
        <v>545</v>
      </c>
      <c r="D18" s="12" t="s">
        <v>546</v>
      </c>
      <c r="E18" s="12" t="s">
        <v>547</v>
      </c>
      <c r="F18" s="12" t="s">
        <v>543</v>
      </c>
      <c r="G18" s="11">
        <v>2024</v>
      </c>
      <c r="H18" s="16">
        <v>45626</v>
      </c>
      <c r="I18" s="16">
        <v>45991</v>
      </c>
      <c r="J18" s="11" t="s">
        <v>308</v>
      </c>
      <c r="K18" s="12" t="s">
        <v>308</v>
      </c>
      <c r="L18" s="16">
        <v>45634</v>
      </c>
      <c r="M18" s="12" t="s">
        <v>41</v>
      </c>
      <c r="N18" s="11" t="s">
        <v>42</v>
      </c>
      <c r="O18" s="25">
        <v>2181915</v>
      </c>
      <c r="P18" s="2">
        <v>5</v>
      </c>
      <c r="Q18" s="25">
        <v>109095.75</v>
      </c>
      <c r="R18" s="25">
        <v>1745532</v>
      </c>
      <c r="S18" s="25">
        <v>436384</v>
      </c>
      <c r="T18" s="25">
        <v>0</v>
      </c>
      <c r="U18" s="25">
        <v>-1</v>
      </c>
      <c r="V18" s="25">
        <v>21819</v>
      </c>
      <c r="W18" s="18">
        <v>0</v>
      </c>
      <c r="X18" s="13">
        <v>0</v>
      </c>
      <c r="Y18" s="13">
        <f t="shared" si="1"/>
        <v>0</v>
      </c>
      <c r="Z18" s="13"/>
      <c r="AA18" s="27"/>
    </row>
    <row r="20" spans="2:27">
      <c r="V20" s="17">
        <f>SUBTOTAL(9,V11:V18)</f>
        <v>196629</v>
      </c>
      <c r="W20" s="17">
        <f>SUBTOTAL(9,W11:W17)</f>
        <v>1350</v>
      </c>
      <c r="X20" s="19"/>
    </row>
    <row r="21" spans="2:27">
      <c r="W21" s="19"/>
    </row>
    <row r="30" spans="2:27">
      <c r="L30"/>
      <c r="N30"/>
    </row>
    <row r="31" spans="2:27">
      <c r="L31"/>
      <c r="N31"/>
    </row>
    <row r="32" spans="2:27">
      <c r="L32"/>
      <c r="N32"/>
    </row>
    <row r="33" spans="12:14">
      <c r="L33"/>
      <c r="N33"/>
    </row>
    <row r="34" spans="12:14">
      <c r="L34"/>
      <c r="N34"/>
    </row>
    <row r="35" spans="12:14">
      <c r="L35"/>
      <c r="N35"/>
    </row>
    <row r="36" spans="12:14">
      <c r="L36"/>
      <c r="N36"/>
    </row>
  </sheetData>
  <autoFilter ref="B10:Z18" xr:uid="{00000000-0001-0000-0100-000000000000}"/>
  <mergeCells count="20">
    <mergeCell ref="N9:N10"/>
    <mergeCell ref="B9:B10"/>
    <mergeCell ref="C9:C10"/>
    <mergeCell ref="D9:D10"/>
    <mergeCell ref="E9:E10"/>
    <mergeCell ref="F9:F10"/>
    <mergeCell ref="G9:G10"/>
    <mergeCell ref="H9:I9"/>
    <mergeCell ref="J9:J10"/>
    <mergeCell ref="K9:K10"/>
    <mergeCell ref="L9:L10"/>
    <mergeCell ref="M9:M10"/>
    <mergeCell ref="Z9:Z10"/>
    <mergeCell ref="O9:O10"/>
    <mergeCell ref="P9:Q9"/>
    <mergeCell ref="R9:U9"/>
    <mergeCell ref="W9:W10"/>
    <mergeCell ref="X9:X10"/>
    <mergeCell ref="Y9:Y10"/>
    <mergeCell ref="V9:V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D786B0614B1F4F9F8564EF69544848" ma:contentTypeVersion="8" ma:contentTypeDescription="Create a new document." ma:contentTypeScope="" ma:versionID="ad4b82c58223210935887040d70558e9">
  <xsd:schema xmlns:xsd="http://www.w3.org/2001/XMLSchema" xmlns:xs="http://www.w3.org/2001/XMLSchema" xmlns:p="http://schemas.microsoft.com/office/2006/metadata/properties" xmlns:ns2="f29f88f8-452b-43ad-84c8-7572ff3b30cb" xmlns:ns3="876338cf-5b40-43a1-a3e7-9653ba32d523" targetNamespace="http://schemas.microsoft.com/office/2006/metadata/properties" ma:root="true" ma:fieldsID="8cdbab431475483a6e22c3e3bea3f67c" ns2:_="" ns3:_="">
    <xsd:import namespace="f29f88f8-452b-43ad-84c8-7572ff3b30cb"/>
    <xsd:import namespace="876338cf-5b40-43a1-a3e7-9653ba32d52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9f88f8-452b-43ad-84c8-7572ff3b3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17c8f3e-8e5c-42b6-ba9d-78fb99a7828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6338cf-5b40-43a1-a3e7-9653ba32d52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e4d866a-282e-4cae-8002-c70ced30b52c}" ma:internalName="TaxCatchAll" ma:showField="CatchAllData" ma:web="876338cf-5b40-43a1-a3e7-9653ba32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FC766F-3639-4015-AB06-5290BFA1C0CE}"/>
</file>

<file path=customXml/itemProps2.xml><?xml version="1.0" encoding="utf-8"?>
<ds:datastoreItem xmlns:ds="http://schemas.openxmlformats.org/officeDocument/2006/customXml" ds:itemID="{7C1E8AAA-E4F9-45FB-A0F0-75A1D1AFF4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Aryudho Mahardi Setianto</dc:creator>
  <cp:keywords/>
  <dc:description/>
  <cp:lastModifiedBy>Dhika Firmansyah</cp:lastModifiedBy>
  <cp:revision/>
  <dcterms:created xsi:type="dcterms:W3CDTF">2023-01-25T07:40:16Z</dcterms:created>
  <dcterms:modified xsi:type="dcterms:W3CDTF">2026-08-07T05:54:36Z</dcterms:modified>
  <cp:category/>
  <cp:contentStatus/>
</cp:coreProperties>
</file>